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EC4BB\EXCELCNV\361097be-cd13-46b4-8986-3e02c6157736\"/>
    </mc:Choice>
  </mc:AlternateContent>
  <xr:revisionPtr revIDLastSave="1996" documentId="8_{CAA2DE13-882F-44CD-8C4D-37BC175974A8}" xr6:coauthVersionLast="47" xr6:coauthVersionMax="47" xr10:uidLastSave="{DBE588C3-9D8A-4FF6-BC17-8B7A30DBB11A}"/>
  <bookViews>
    <workbookView xWindow="-60" yWindow="-60" windowWidth="15480" windowHeight="11640" firstSheet="5" activeTab="5" xr2:uid="{12DCCBE8-E866-4AD4-956C-E539BDB73BEA}"/>
  </bookViews>
  <sheets>
    <sheet name="Guideline" sheetId="1" r:id="rId1"/>
    <sheet name="Cover" sheetId="4" r:id="rId2"/>
    <sheet name="Functions" sheetId="5" r:id="rId3"/>
    <sheet name="Statistics" sheetId="6" r:id="rId4"/>
    <sheet name="Template" sheetId="12" r:id="rId5"/>
    <sheet name="registerWoodworker" sheetId="7" r:id="rId6"/>
    <sheet name="createWalletOrderPayment" sheetId="10" r:id="rId7"/>
    <sheet name="createUserAddress" sheetId="11" r:id="rId8"/>
    <sheet name="signup" sheetId="20" r:id="rId9"/>
    <sheet name="saveQuotationDetails" sheetId="19" r:id="rId10"/>
    <sheet name="saveGuaranteeQuotationDetails" sheetId="18" r:id="rId11"/>
    <sheet name="createPost" sheetId="22" r:id="rId12"/>
    <sheet name="createContractCustomize" sheetId="23" r:id="rId13"/>
    <sheet name="createReview" sheetId="21" r:id="rId14"/>
    <sheet name="addDesignIdea" sheetId="14" r:id="rId15"/>
    <sheet name="createPersonalOrder" sheetId="15" r:id="rId16"/>
    <sheet name="createCustomizeOrder" sheetId="13" r:id="rId17"/>
  </sheets>
  <externalReferences>
    <externalReference r:id="rId18"/>
    <externalReference r:id="rId19"/>
  </externalReferences>
  <definedNames>
    <definedName name="ACTION">#REF!</definedName>
    <definedName name="_xlnm.Print_Area" localSheetId="14">addDesignIdea!$A$1:$T$61</definedName>
    <definedName name="_xlnm.Print_Area" localSheetId="13">createReview!$A$1:$T$53</definedName>
    <definedName name="_xlnm.Print_Area" localSheetId="11">createPost!$A$1:$T$57</definedName>
    <definedName name="_xlnm.Print_Area" localSheetId="12">createContractCustomize!$A$1:$T$53</definedName>
    <definedName name="_xlnm.Print_Area" localSheetId="16">createCustomizeOrder!$A$1:$T$53</definedName>
    <definedName name="_xlnm.Print_Area" localSheetId="15">createPersonalOrder!$A$1:$T$72</definedName>
    <definedName name="_xlnm.Print_Area" localSheetId="7">createUserAddress!$A$1:$T$63</definedName>
    <definedName name="_xlnm.Print_Area" localSheetId="6">createWalletOrderPayment!$A$1:$T$63</definedName>
    <definedName name="_xlnm.Print_Area" localSheetId="2">Functions!$A$1:$H$38</definedName>
    <definedName name="_xlnm.Print_Area" localSheetId="0">Guideline!$A$1:$A$48</definedName>
    <definedName name="_xlnm.Print_Area" localSheetId="5">registerWoodworker!$A$1:$T$81</definedName>
    <definedName name="_xlnm.Print_Area" localSheetId="10">saveGuaranteeQuotationDetails!$A$1:$T$43</definedName>
    <definedName name="_xlnm.Print_Area" localSheetId="9">saveQuotationDetails!$A$1:$T$45</definedName>
    <definedName name="_xlnm.Print_Area" localSheetId="8">signup!$A$1:$T$49</definedName>
    <definedName name="_xlnm.Print_Area" localSheetId="3">Statistics!$A$1:$I$48</definedName>
    <definedName name="Z_2C0D9096_8D85_462A_A9B5_0B488ADB4269_.wvu.Cols" localSheetId="14" hidden="1">addDesignIdea!$E:$E</definedName>
    <definedName name="Z_2C0D9096_8D85_462A_A9B5_0B488ADB4269_.wvu.Cols" localSheetId="13" hidden="1">createReview!$E:$E</definedName>
    <definedName name="Z_2C0D9096_8D85_462A_A9B5_0B488ADB4269_.wvu.Cols" localSheetId="12" hidden="1">createContractCustomize!$E:$E</definedName>
    <definedName name="Z_2C0D9096_8D85_462A_A9B5_0B488ADB4269_.wvu.Cols" localSheetId="16" hidden="1">createCustomizeOrder!$E:$E</definedName>
    <definedName name="Z_2C0D9096_8D85_462A_A9B5_0B488ADB4269_.wvu.Cols" localSheetId="15" hidden="1">createPersonalOrder!$E:$E</definedName>
    <definedName name="Z_2C0D9096_8D85_462A_A9B5_0B488ADB4269_.wvu.Cols" localSheetId="7" hidden="1">createUserAddress!$E:$E</definedName>
    <definedName name="Z_2C0D9096_8D85_462A_A9B5_0B488ADB4269_.wvu.Cols" localSheetId="6" hidden="1">createWalletOrderPayment!$E:$E</definedName>
    <definedName name="Z_2C0D9096_8D85_462A_A9B5_0B488ADB4269_.wvu.Cols" localSheetId="5" hidden="1">registerWoodworker!$E:$E</definedName>
    <definedName name="Z_2C0D9096_8D85_462A_A9B5_0B488ADB4269_.wvu.Cols" localSheetId="10" hidden="1">saveGuaranteeQuotationDetails!$E:$E</definedName>
    <definedName name="Z_2C0D9096_8D85_462A_A9B5_0B488ADB4269_.wvu.Cols" localSheetId="9" hidden="1">saveQuotationDetails!$E:$E</definedName>
    <definedName name="Z_2C0D9096_8D85_462A_A9B5_0B488ADB4269_.wvu.Cols" localSheetId="8" hidden="1">signup!$E:$E</definedName>
    <definedName name="Z_2C0D9096_8D85_462A_A9B5_0B488ADB4269_.wvu.Cols" localSheetId="11" hidden="1">createPost!$E:$E</definedName>
    <definedName name="Z_2C0D9096_8D85_462A_A9B5_0B488ADB4269_.wvu.PrintArea" localSheetId="3" hidden="1">Statistics!$A:$I</definedName>
    <definedName name="Z_6F1DCD5D_5DAC_4817_BF40_2B66F6F593E6_.wvu.Cols" localSheetId="14" hidden="1">addDesignIdea!$E:$E</definedName>
    <definedName name="Z_6F1DCD5D_5DAC_4817_BF40_2B66F6F593E6_.wvu.Cols" localSheetId="13" hidden="1">createReview!$E:$E</definedName>
    <definedName name="Z_6F1DCD5D_5DAC_4817_BF40_2B66F6F593E6_.wvu.Cols" localSheetId="12" hidden="1">createContractCustomize!$E:$E</definedName>
    <definedName name="Z_6F1DCD5D_5DAC_4817_BF40_2B66F6F593E6_.wvu.Cols" localSheetId="16" hidden="1">createCustomizeOrder!$E:$E</definedName>
    <definedName name="Z_6F1DCD5D_5DAC_4817_BF40_2B66F6F593E6_.wvu.Cols" localSheetId="15" hidden="1">createPersonalOrder!$E:$E</definedName>
    <definedName name="Z_6F1DCD5D_5DAC_4817_BF40_2B66F6F593E6_.wvu.Cols" localSheetId="7" hidden="1">createUserAddress!$E:$E</definedName>
    <definedName name="Z_6F1DCD5D_5DAC_4817_BF40_2B66F6F593E6_.wvu.Cols" localSheetId="6" hidden="1">createWalletOrderPayment!$E:$E</definedName>
    <definedName name="Z_6F1DCD5D_5DAC_4817_BF40_2B66F6F593E6_.wvu.Cols" localSheetId="5" hidden="1">registerWoodworker!$E:$E</definedName>
    <definedName name="Z_6F1DCD5D_5DAC_4817_BF40_2B66F6F593E6_.wvu.Cols" localSheetId="10" hidden="1">saveGuaranteeQuotationDetails!$E:$E</definedName>
    <definedName name="Z_6F1DCD5D_5DAC_4817_BF40_2B66F6F593E6_.wvu.Cols" localSheetId="9" hidden="1">saveQuotationDetails!$E:$E</definedName>
    <definedName name="Z_6F1DCD5D_5DAC_4817_BF40_2B66F6F593E6_.wvu.Cols" localSheetId="8" hidden="1">signup!$E:$E</definedName>
    <definedName name="Z_6F1DCD5D_5DAC_4817_BF40_2B66F6F593E6_.wvu.Cols" localSheetId="11" hidden="1">createPost!$E:$E</definedName>
    <definedName name="Z_6F1DCD5D_5DAC_4817_BF40_2B66F6F593E6_.wvu.PrintArea" localSheetId="3" hidden="1">Statistics!$A:$I</definedName>
    <definedName name="Z_BE54E0AD_3725_4423_92D7_4F1C045BE1BC_.wvu.Cols" localSheetId="14" hidden="1">addDesignIdea!$E:$E</definedName>
    <definedName name="Z_BE54E0AD_3725_4423_92D7_4F1C045BE1BC_.wvu.Cols" localSheetId="13" hidden="1">createReview!$E:$E</definedName>
    <definedName name="Z_BE54E0AD_3725_4423_92D7_4F1C045BE1BC_.wvu.Cols" localSheetId="12" hidden="1">createContractCustomize!$E:$E</definedName>
    <definedName name="Z_BE54E0AD_3725_4423_92D7_4F1C045BE1BC_.wvu.Cols" localSheetId="16" hidden="1">createCustomizeOrder!$E:$E</definedName>
    <definedName name="Z_BE54E0AD_3725_4423_92D7_4F1C045BE1BC_.wvu.Cols" localSheetId="15" hidden="1">createPersonalOrder!$E:$E</definedName>
    <definedName name="Z_BE54E0AD_3725_4423_92D7_4F1C045BE1BC_.wvu.Cols" localSheetId="7" hidden="1">createUserAddress!$E:$E</definedName>
    <definedName name="Z_BE54E0AD_3725_4423_92D7_4F1C045BE1BC_.wvu.Cols" localSheetId="6" hidden="1">createWalletOrderPayment!$E:$E</definedName>
    <definedName name="Z_BE54E0AD_3725_4423_92D7_4F1C045BE1BC_.wvu.Cols" localSheetId="5" hidden="1">registerWoodworker!$E:$E</definedName>
    <definedName name="Z_BE54E0AD_3725_4423_92D7_4F1C045BE1BC_.wvu.Cols" localSheetId="10" hidden="1">saveGuaranteeQuotationDetails!$E:$E</definedName>
    <definedName name="Z_BE54E0AD_3725_4423_92D7_4F1C045BE1BC_.wvu.Cols" localSheetId="9" hidden="1">saveQuotationDetails!$E:$E</definedName>
    <definedName name="Z_BE54E0AD_3725_4423_92D7_4F1C045BE1BC_.wvu.Cols" localSheetId="8" hidden="1">signup!$E:$E</definedName>
    <definedName name="Z_BE54E0AD_3725_4423_92D7_4F1C045BE1BC_.wvu.Cols" localSheetId="11" hidden="1">createPost!$E:$E</definedName>
    <definedName name="Z_BE54E0AD_3725_4423_92D7_4F1C045BE1BC_.wvu.PrintArea" localSheetId="3" hidden="1">Statistics!$A:$I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0" l="1"/>
  <c r="N8" i="10"/>
  <c r="O8" i="10"/>
  <c r="H23" i="6"/>
  <c r="H22" i="6"/>
  <c r="H21" i="6"/>
  <c r="H20" i="6"/>
  <c r="H19" i="6"/>
  <c r="H18" i="6"/>
  <c r="H17" i="6"/>
  <c r="H16" i="6"/>
  <c r="H15" i="6"/>
  <c r="H12" i="6"/>
  <c r="H14" i="6"/>
  <c r="G20" i="6"/>
  <c r="G19" i="6"/>
  <c r="F20" i="6"/>
  <c r="F19" i="6"/>
  <c r="E20" i="6"/>
  <c r="D20" i="6"/>
  <c r="I20" i="6"/>
  <c r="D19" i="6"/>
  <c r="E19" i="6"/>
  <c r="I19" i="6"/>
  <c r="C20" i="6"/>
  <c r="C19" i="6"/>
  <c r="D18" i="6"/>
  <c r="I18" i="6"/>
  <c r="D17" i="6"/>
  <c r="I17" i="6"/>
  <c r="D16" i="6"/>
  <c r="I16" i="6"/>
  <c r="I15" i="6"/>
  <c r="I23" i="6"/>
  <c r="G23" i="6"/>
  <c r="F23" i="6"/>
  <c r="E23" i="6"/>
  <c r="D23" i="6"/>
  <c r="I22" i="6"/>
  <c r="C23" i="6"/>
  <c r="G22" i="6"/>
  <c r="F22" i="6"/>
  <c r="L2" i="13"/>
  <c r="L7" i="13"/>
  <c r="M7" i="13"/>
  <c r="N7" i="13"/>
  <c r="O7" i="13"/>
  <c r="C7" i="13"/>
  <c r="A7" i="13"/>
  <c r="F7" i="13" s="1"/>
  <c r="L7" i="14"/>
  <c r="F21" i="6" s="1"/>
  <c r="O7" i="14"/>
  <c r="I21" i="6" s="1"/>
  <c r="F22" i="5"/>
  <c r="F19" i="5"/>
  <c r="L2" i="18"/>
  <c r="F16" i="5" s="1"/>
  <c r="L2" i="20"/>
  <c r="L2" i="10"/>
  <c r="F12" i="5" s="1"/>
  <c r="L2" i="21"/>
  <c r="L2" i="23"/>
  <c r="L2" i="22"/>
  <c r="O7" i="23"/>
  <c r="N7" i="23"/>
  <c r="M7" i="23"/>
  <c r="L7" i="23"/>
  <c r="C7" i="23"/>
  <c r="A7" i="23"/>
  <c r="F7" i="23" s="1"/>
  <c r="L4" i="23"/>
  <c r="C2" i="23"/>
  <c r="O7" i="22"/>
  <c r="N7" i="22"/>
  <c r="M7" i="22"/>
  <c r="G18" i="6" s="1"/>
  <c r="L7" i="22"/>
  <c r="F18" i="6" s="1"/>
  <c r="C7" i="22"/>
  <c r="A7" i="22"/>
  <c r="O7" i="21"/>
  <c r="N7" i="21"/>
  <c r="M7" i="21"/>
  <c r="L7" i="21"/>
  <c r="C7" i="21"/>
  <c r="A7" i="21"/>
  <c r="F7" i="21" s="1"/>
  <c r="L4" i="21"/>
  <c r="C2" i="21"/>
  <c r="L2" i="19"/>
  <c r="F15" i="5" s="1"/>
  <c r="O7" i="20"/>
  <c r="N7" i="20"/>
  <c r="M7" i="20"/>
  <c r="G15" i="6" s="1"/>
  <c r="L7" i="20"/>
  <c r="F15" i="6" s="1"/>
  <c r="C7" i="20"/>
  <c r="D15" i="6" s="1"/>
  <c r="A7" i="20"/>
  <c r="L4" i="20"/>
  <c r="C2" i="20"/>
  <c r="O7" i="19"/>
  <c r="N7" i="19"/>
  <c r="M7" i="19"/>
  <c r="G16" i="6" s="1"/>
  <c r="L7" i="19"/>
  <c r="F16" i="6" s="1"/>
  <c r="C7" i="19"/>
  <c r="E16" i="6" s="1"/>
  <c r="A7" i="19"/>
  <c r="L4" i="19"/>
  <c r="C2" i="19"/>
  <c r="O7" i="18"/>
  <c r="N7" i="18"/>
  <c r="M7" i="18"/>
  <c r="G17" i="6" s="1"/>
  <c r="L7" i="18"/>
  <c r="F17" i="6" s="1"/>
  <c r="C7" i="18"/>
  <c r="A7" i="18"/>
  <c r="L4" i="18"/>
  <c r="C2" i="18"/>
  <c r="L2" i="15"/>
  <c r="F21" i="5" s="1"/>
  <c r="L2" i="14"/>
  <c r="F20" i="5" s="1"/>
  <c r="O7" i="15"/>
  <c r="N7" i="15"/>
  <c r="M7" i="15"/>
  <c r="L7" i="15"/>
  <c r="C7" i="15"/>
  <c r="D22" i="6" s="1"/>
  <c r="A7" i="15"/>
  <c r="N7" i="14"/>
  <c r="M7" i="14"/>
  <c r="G21" i="6" s="1"/>
  <c r="C7" i="14"/>
  <c r="D21" i="6" s="1"/>
  <c r="A7" i="14"/>
  <c r="B6" i="4"/>
  <c r="B4" i="6"/>
  <c r="N7" i="11"/>
  <c r="M7" i="11"/>
  <c r="G14" i="6"/>
  <c r="L7" i="11"/>
  <c r="F14" i="6"/>
  <c r="H13" i="6"/>
  <c r="G13" i="6"/>
  <c r="L8" i="10"/>
  <c r="F13" i="6"/>
  <c r="N7" i="7"/>
  <c r="M7" i="7"/>
  <c r="G12" i="6"/>
  <c r="G24" i="6"/>
  <c r="L7" i="7"/>
  <c r="F12" i="6"/>
  <c r="F24" i="6"/>
  <c r="C7" i="11"/>
  <c r="D14" i="6"/>
  <c r="A7" i="11"/>
  <c r="C14" i="6"/>
  <c r="C8" i="10"/>
  <c r="D13" i="6"/>
  <c r="A8" i="10"/>
  <c r="C13" i="6"/>
  <c r="C7" i="7"/>
  <c r="D12" i="6"/>
  <c r="D24" i="6"/>
  <c r="A7" i="7"/>
  <c r="C12" i="6"/>
  <c r="L2" i="11"/>
  <c r="F13" i="5" s="1"/>
  <c r="C2" i="11"/>
  <c r="O7" i="12"/>
  <c r="N7" i="12"/>
  <c r="M7" i="12"/>
  <c r="L7" i="12"/>
  <c r="A7" i="12"/>
  <c r="C7" i="12"/>
  <c r="F7" i="12" s="1"/>
  <c r="L4" i="12"/>
  <c r="L2" i="12"/>
  <c r="C2" i="12"/>
  <c r="O7" i="11"/>
  <c r="L4" i="11"/>
  <c r="I14" i="6"/>
  <c r="O7" i="7"/>
  <c r="I12" i="6"/>
  <c r="F8" i="10"/>
  <c r="E13" i="6" s="1"/>
  <c r="I13" i="6"/>
  <c r="I24" i="6" s="1"/>
  <c r="L4" i="10"/>
  <c r="E4" i="5"/>
  <c r="E5" i="5"/>
  <c r="B5" i="6"/>
  <c r="B6" i="6"/>
  <c r="L2" i="7"/>
  <c r="F11" i="5" s="1"/>
  <c r="D29" i="6"/>
  <c r="D28" i="6"/>
  <c r="F7" i="11"/>
  <c r="E14" i="6"/>
  <c r="L4" i="7"/>
  <c r="F7" i="7"/>
  <c r="E12" i="6"/>
  <c r="F7" i="18" l="1"/>
  <c r="E17" i="6" s="1"/>
  <c r="C17" i="6"/>
  <c r="F7" i="19"/>
  <c r="C16" i="6"/>
  <c r="F7" i="20"/>
  <c r="E15" i="6" s="1"/>
  <c r="C15" i="6"/>
  <c r="F7" i="22"/>
  <c r="E18" i="6" s="1"/>
  <c r="C18" i="6"/>
  <c r="F7" i="14"/>
  <c r="E21" i="6" s="1"/>
  <c r="C21" i="6"/>
  <c r="F7" i="15"/>
  <c r="C22" i="6"/>
  <c r="C24" i="6" s="1"/>
  <c r="D26" i="6" l="1"/>
  <c r="D27" i="6"/>
  <c r="E22" i="6"/>
  <c r="E24" i="6" s="1"/>
  <c r="H24" i="6"/>
  <c r="D3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5356E48-B735-4542-90CE-A51A5AA4182B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A3C7109-B0EF-48C5-8C9B-4D56B5E5B72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3A78FCE-DFEB-491A-AA09-77C2E6C915F6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6D98CCD-C2B4-4D4D-9C95-CAA30BA74E2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04E1AB9-439E-4E64-A83D-07EBDEF2A634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6" authorId="0" shapeId="0" xr:uid="{1473CA2F-2628-4B45-B5DA-99C292CFB6FE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1" authorId="1" shapeId="0" xr:uid="{2920609A-1CBB-440D-A94F-7D2F945D40B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0DDAACC-A62E-4457-AB80-9CE1F307E184}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 xr:uid="{45DDA950-13B4-43E3-B282-2C6C300329C3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95D1203-37C5-4C74-83FE-01C71E86BF9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F3129F2-7BCB-4EBD-BC89-1DAF579368E7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382E355-1982-445C-B7D2-20D05A3DDF8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5C41F19-D050-4C31-9601-DA80CE077D6B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CA6C182-6F95-4DAA-9DC6-457B9293697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B80BACC-4B6C-414C-B8A8-E5E35672CC3B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633E027-0F99-4250-AFDF-413FA7A7E91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AE1429C6-A6AE-4A47-8BDE-5741641EC904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C557E25-1651-4714-8FFA-690413B8E10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EF5BF7C-6E01-425F-89BD-746D02FDE1FC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879B877-5592-4C52-A714-4F3800D15B3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CDF0A5F-A8BD-402A-B4F6-E58AF61406BC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CF1522F-ACC8-4A91-836B-DBCEF545369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77F6794-9E76-4D53-8B63-257DBFF66E6C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CAA7FC0-5228-4282-A619-D81392AA57B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3A75EFB-8411-488C-AD80-94764C7A56A6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9C09F2F0-CA29-47A9-9C55-CD973A9413EC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B13F0A5-31CB-4BD2-9BA6-0CBC814A8F48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<sst xmlns="http://schemas.openxmlformats.org/spreadsheetml/2006/main" count="2013" uniqueCount="377">
  <si>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</si>
  <si>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</si>
  <si>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</si>
  <si>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</si>
  <si>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</si>
  <si>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</si>
  <si>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</si>
  <si>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</si>
  <si>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</si>
  <si>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</si>
  <si>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</si>
  <si>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</si>
  <si>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</si>
  <si>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</si>
  <si>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</si>
  <si>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</si>
  <si>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</si>
  <si>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</si>
  <si>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</si>
  <si>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</si>
  <si>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</si>
  <si>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</si>
  <si>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</si>
  <si>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</si>
  <si>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</si>
  <si>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</si>
  <si>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</si>
  <si>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</si>
  <si>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</si>
  <si>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</si>
  <si>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</si>
  <si>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</si>
  <si>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</si>
  <si>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</si>
  <si>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</si>
  <si>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</si>
  <si>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</si>
  <si>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</si>
  <si>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</si>
  <si>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</si>
  <si>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</si>
  <si>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</si>
  <si>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</si>
  <si>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</si>
  <si>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</si>
  <si>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</si>
  <si>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</si>
  <si>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Woodwork Design, Crafting &amp; Repair Booking Platform</t>
  </si>
  <si>
    <t>Creator</t>
  </si>
  <si>
    <t>Group GSP48</t>
  </si>
  <si>
    <t>Project Code</t>
  </si>
  <si>
    <t>SP25SE026</t>
  </si>
  <si>
    <t>Issue Date</t>
  </si>
  <si>
    <t>Document Code</t>
  </si>
  <si>
    <t>Version</t>
  </si>
  <si>
    <t>1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</si>
  <si>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</si>
  <si>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</si>
  <si>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</si>
  <si>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</si>
  <si>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</si>
  <si>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</si>
  <si>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</si>
  <si>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Init document</t>
  </si>
  <si>
    <t>Add registerWoodworker, createWalletOrderPayment, createUserAddress function</t>
  </si>
  <si>
    <t>Add signup, saveQuotatationDetails, saveGuaranteeQuoationDetails functions</t>
  </si>
  <si>
    <t>Add createPost, createContractCustomize, createReview function</t>
  </si>
  <si>
    <t>Add addDesignIdea, createPersonalOrder, createCustomizeOrder function</t>
  </si>
  <si>
    <t>Function List</t>
  </si>
  <si>
    <t xml:space="preserve">Normal number of Test cases/KLOC </t>
  </si>
  <si>
    <t>Test Environment Setup Description</t>
  </si>
  <si>
    <t>1. Server
2. Database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</si>
  <si>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</si>
  <si>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</si>
  <si>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</si>
  <si>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</si>
  <si>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</si>
  <si>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</si>
  <si>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</si>
  <si>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</si>
  <si>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WoodworkerProfileController</t>
  </si>
  <si>
    <t>registerWoodworker</t>
  </si>
  <si>
    <t>WalletController</t>
  </si>
  <si>
    <t>createWalletOrderPayment</t>
  </si>
  <si>
    <t>UserAddressController</t>
  </si>
  <si>
    <t>createUserAddress</t>
  </si>
  <si>
    <t>AuthController</t>
  </si>
  <si>
    <t>signup</t>
  </si>
  <si>
    <t>QuotationController</t>
  </si>
  <si>
    <t>saveQuotationDetails</t>
  </si>
  <si>
    <t>saveGuaranteeQuotationDetails</t>
  </si>
  <si>
    <t>PostController</t>
  </si>
  <si>
    <t>createPost</t>
  </si>
  <si>
    <t>createPost!</t>
  </si>
  <si>
    <t>ContractController</t>
  </si>
  <si>
    <t>createContractCustomize</t>
  </si>
  <si>
    <t>createContractCustomize!</t>
  </si>
  <si>
    <t>ReviewController</t>
  </si>
  <si>
    <t>createReview</t>
  </si>
  <si>
    <t>DesignIdeaController</t>
  </si>
  <si>
    <t>addDesignIdea</t>
  </si>
  <si>
    <t>ServiceOrderController</t>
  </si>
  <si>
    <t>createPersonalOrder</t>
  </si>
  <si>
    <t>createCustomizeOrder</t>
  </si>
  <si>
    <t>UNIT TEST REPORT</t>
  </si>
  <si>
    <t>Reviewer/Approver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</si>
  <si>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</si>
  <si>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</si>
  <si>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</si>
  <si>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</si>
  <si>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</si>
  <si>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</si>
  <si>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</si>
  <si>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</si>
  <si>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</si>
  <si>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</si>
  <si>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</si>
  <si>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</si>
  <si>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</si>
  <si>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</si>
  <si>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</si>
  <si>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</si>
  <si>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</si>
  <si>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&lt;Developer Name&gt;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</si>
  <si>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</si>
  <si>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</si>
  <si>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</si>
  <si>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</si>
  <si>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</si>
  <si>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</si>
  <si>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</si>
  <si>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</si>
  <si>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</si>
  <si>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</si>
  <si>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</si>
  <si>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</si>
  <si>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</si>
  <si>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</si>
  <si>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</si>
  <si>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</si>
  <si>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</si>
  <si>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</si>
  <si>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  <phoneticPr fontId="34" type="noConversion"/>
  </si>
  <si>
    <t>a</t>
    <phoneticPr fontId="34" type="noConversion"/>
  </si>
  <si>
    <t>O</t>
  </si>
  <si>
    <t>b</t>
    <phoneticPr fontId="34" type="noConversion"/>
  </si>
  <si>
    <t>c</t>
    <phoneticPr fontId="44"/>
  </si>
  <si>
    <t>Confirm</t>
  </si>
  <si>
    <t>Return</t>
    <phoneticPr fontId="34" type="noConversion"/>
  </si>
  <si>
    <t xml:space="preserve">list </t>
    <phoneticPr fontId="44"/>
  </si>
  <si>
    <t>null</t>
    <phoneticPr fontId="44"/>
  </si>
  <si>
    <t>size = 0</t>
    <phoneticPr fontId="44"/>
  </si>
  <si>
    <t>{-1/2}</t>
    <phoneticPr fontId="44"/>
  </si>
  <si>
    <t>{1,1}</t>
    <phoneticPr fontId="44"/>
  </si>
  <si>
    <t>{1,-3}</t>
    <phoneticPr fontId="44"/>
  </si>
  <si>
    <t>Exception</t>
    <phoneticPr fontId="34" type="noConversion"/>
  </si>
  <si>
    <t>Log message</t>
    <phoneticPr fontId="34" type="noConversion"/>
  </si>
  <si>
    <t>"please input a&gt;= -1"</t>
    <phoneticPr fontId="44"/>
  </si>
  <si>
    <t>Result</t>
  </si>
  <si>
    <t>Type(N : Normal, A : Abnormal, B : Boundary)</t>
  </si>
  <si>
    <t>Passed/Failed</t>
  </si>
  <si>
    <t>Executed Date</t>
  </si>
  <si>
    <t>Defect ID</t>
  </si>
  <si>
    <t>An</t>
  </si>
  <si>
    <t>UTCID03</t>
  </si>
  <si>
    <t>UTCID04</t>
  </si>
  <si>
    <t>UTCID05</t>
  </si>
  <si>
    <t>UTCID06</t>
  </si>
  <si>
    <t xml:space="preserve">Precondition </t>
  </si>
  <si>
    <t>Can connect with server</t>
  </si>
  <si>
    <t>API endpoint up, DB reachable</t>
  </si>
  <si>
    <t>fullName</t>
  </si>
  <si>
    <t>Lê Nguyên An</t>
  </si>
  <si>
    <t>"" (Emplty string)</t>
  </si>
  <si>
    <t>email</t>
  </si>
  <si>
    <t>ww@w.w</t>
  </si>
  <si>
    <t>phone</t>
  </si>
  <si>
    <t>address</t>
  </si>
  <si>
    <t>15/39 Tran Binh Trong</t>
  </si>
  <si>
    <t>wardCode</t>
  </si>
  <si>
    <t>XYZ</t>
  </si>
  <si>
    <t>districtId</t>
  </si>
  <si>
    <t>aBC</t>
  </si>
  <si>
    <t>cityId</t>
  </si>
  <si>
    <t>X15X</t>
  </si>
  <si>
    <t>businessType</t>
  </si>
  <si>
    <t>Family</t>
  </si>
  <si>
    <t>no choose</t>
  </si>
  <si>
    <t>taxCode</t>
  </si>
  <si>
    <t>BSDA</t>
  </si>
  <si>
    <t>brandName</t>
  </si>
  <si>
    <t>Hoa Hai</t>
  </si>
  <si>
    <t>bio</t>
  </si>
  <si>
    <t>Tiệm bán đồ gỗ Sài thành</t>
  </si>
  <si>
    <t>&gt;500 characters</t>
  </si>
  <si>
    <t>imgUrl</t>
  </si>
  <si>
    <t>"https://imgur.com/aBc123.png"</t>
  </si>
  <si>
    <t>"htp:/image"</t>
  </si>
  <si>
    <t>Return</t>
  </si>
  <si>
    <t>T</t>
  </si>
  <si>
    <t>F</t>
  </si>
  <si>
    <t>Exception</t>
  </si>
  <si>
    <t>Log message</t>
  </si>
  <si>
    <t xml:space="preserve"> "fulllName cant be empty"</t>
  </si>
  <si>
    <t>Invalid email</t>
  </si>
  <si>
    <t>Phone number is required</t>
  </si>
  <si>
    <t>address is required</t>
  </si>
  <si>
    <t>Invalid wardCode</t>
  </si>
  <si>
    <t>Invalid districtId</t>
  </si>
  <si>
    <t>Invalid cityId</t>
  </si>
  <si>
    <t>Bio too long</t>
  </si>
  <si>
    <t>Invalid imgUrl</t>
  </si>
  <si>
    <t>"vui lòng chọn loại hình kinh doanh"</t>
  </si>
  <si>
    <t>"success"</t>
  </si>
  <si>
    <t>"invalid taxCode"</t>
  </si>
  <si>
    <t>brandNameis required</t>
  </si>
  <si>
    <t>P</t>
  </si>
  <si>
    <t>DFID011</t>
  </si>
  <si>
    <t>DFID002</t>
  </si>
  <si>
    <t>DFID003</t>
  </si>
  <si>
    <t>The user is authenticated and authorized</t>
  </si>
  <si>
    <t xml:space="preserve">	The provided email is valid and registered</t>
  </si>
  <si>
    <t xml:space="preserve">	There is no network timeout or server-side crash</t>
  </si>
  <si>
    <t>servicePackId</t>
  </si>
  <si>
    <t>Ac</t>
  </si>
  <si>
    <t>orderDepositId</t>
  </si>
  <si>
    <t>null</t>
  </si>
  <si>
    <t>transactionType</t>
  </si>
  <si>
    <t xml:space="preserve">DEPOSIT
</t>
  </si>
  <si>
    <t>Null</t>
  </si>
  <si>
    <t>anle.com</t>
  </si>
  <si>
    <t>returnUrl</t>
  </si>
  <si>
    <t>App / Web link url</t>
  </si>
  <si>
    <t>htt!://@wood...</t>
  </si>
  <si>
    <t>payment response</t>
  </si>
  <si>
    <t>MissingServicePackId</t>
  </si>
  <si>
    <t>MissingEmail</t>
  </si>
  <si>
    <t xml:space="preserve">InvalidReturnUrl	</t>
  </si>
  <si>
    <t>MissingTransaction</t>
  </si>
  <si>
    <t>InvalidEmail</t>
  </si>
  <si>
    <t>email format is invalid</t>
  </si>
  <si>
    <t>email is required</t>
  </si>
  <si>
    <t>orderDepositId is required</t>
  </si>
  <si>
    <t>servicePackId is required</t>
  </si>
  <si>
    <t>transaction type required</t>
  </si>
  <si>
    <t>returnUrl is invalid</t>
  </si>
  <si>
    <t>"input1 is null"</t>
  </si>
  <si>
    <t>isDefault</t>
  </si>
  <si>
    <t>"true"</t>
  </si>
  <si>
    <t>"15/39 Tran Binh Trong"</t>
  </si>
  <si>
    <t>"null"</t>
  </si>
  <si>
    <t>asdc</t>
  </si>
  <si>
    <t xml:space="preserve">a </t>
  </si>
  <si>
    <t xml:space="preserve">cityId </t>
  </si>
  <si>
    <t>""</t>
  </si>
  <si>
    <t>userId</t>
  </si>
  <si>
    <t>InvalidUserId</t>
  </si>
  <si>
    <t>MissingAddress</t>
  </si>
  <si>
    <t>MissingCityId</t>
  </si>
  <si>
    <t>MissingDistrictId</t>
  </si>
  <si>
    <t>InvalidWardCode</t>
  </si>
  <si>
    <t>InvaliddistrictId</t>
  </si>
  <si>
    <t>userId must be &gt; 0</t>
  </si>
  <si>
    <t>wardCode must be number</t>
  </si>
  <si>
    <t>invalid districtId</t>
  </si>
  <si>
    <t>cityId is required</t>
  </si>
  <si>
    <t>DFID001</t>
  </si>
  <si>
    <t>"Nguyen Van A"</t>
  </si>
  <si>
    <t>"" (Empty string)</t>
  </si>
  <si>
    <t>abc@domain.com</t>
  </si>
  <si>
    <t>invalid_email</t>
  </si>
  <si>
    <t>password</t>
  </si>
  <si>
    <t>"abc124@"</t>
  </si>
  <si>
    <t>confirmPass</t>
  </si>
  <si>
    <t>matches password</t>
  </si>
  <si>
    <t>not matching</t>
  </si>
  <si>
    <t>CoreApiResponse</t>
  </si>
  <si>
    <t>"Email không hợp lệ"</t>
  </si>
  <si>
    <t>"Tài khoản đã được đăng ký thành công!"</t>
  </si>
  <si>
    <t>DFID004</t>
  </si>
  <si>
    <t>DFID005</t>
  </si>
  <si>
    <t>DFID006</t>
  </si>
  <si>
    <t>DFID007</t>
  </si>
  <si>
    <t>DFID008</t>
  </si>
  <si>
    <t>DFID009</t>
  </si>
  <si>
    <t>DFID010</t>
  </si>
  <si>
    <t>DFID012</t>
  </si>
  <si>
    <t>requestedProductId</t>
  </si>
  <si>
    <t>Valid ID</t>
  </si>
  <si>
    <t>Invalid ID</t>
  </si>
  <si>
    <t>quotations</t>
  </si>
  <si>
    <t>Empty list</t>
  </si>
  <si>
    <t>Multiple valid entries</t>
  </si>
  <si>
    <t>"RequestedProduct not found"</t>
  </si>
  <si>
    <t>D024</t>
  </si>
  <si>
    <t>D025</t>
  </si>
  <si>
    <t>D026</t>
  </si>
  <si>
    <t>guaranteeOrderId</t>
  </si>
  <si>
    <t xml:space="preserve">Multiple valid items
</t>
  </si>
  <si>
    <t>Phúc</t>
  </si>
  <si>
    <t>title</t>
  </si>
  <si>
    <t>"Woodworker Post"</t>
  </si>
  <si>
    <t>"A".repeat(255) // 255 characters</t>
  </si>
  <si>
    <t>description</t>
  </si>
  <si>
    <t>"This is a description of the woodworker's post."</t>
  </si>
  <si>
    <t>"D".repeat(1000)</t>
  </si>
  <si>
    <t>imgUrls</t>
  </si>
  <si>
    <t>"https://123.com/123.123"</t>
  </si>
  <si>
    <t>woodworkerId</t>
  </si>
  <si>
    <t>PostDetailRes</t>
  </si>
  <si>
    <t>"Post created with title: 'Woodworker Post'"</t>
  </si>
  <si>
    <t>"Title is empty, validation failed"</t>
  </si>
  <si>
    <t>"Post created with title: 'A'.repeat(255)"</t>
  </si>
  <si>
    <t>"Description is empty, validation failed"</t>
  </si>
  <si>
    <t>"Description exceeds maximum length"</t>
  </si>
  <si>
    <t>"No image URL provided"</t>
  </si>
  <si>
    <t>"Invalid image URL provided"</t>
  </si>
  <si>
    <t>"Woodworker ID cannot be negative"</t>
  </si>
  <si>
    <t>Date</t>
  </si>
  <si>
    <t>Month</t>
  </si>
  <si>
    <t>Year</t>
  </si>
  <si>
    <t>Luân</t>
  </si>
  <si>
    <t>Verify that createProduct enforces woodworkerId ≥ 0 &amp; exists, categoryId &gt; 0 &amp; exists, at least one configuration with values, and price &gt; 0 — returning a valid ProductResponse on success or throwing AppException with the right message on failure.</t>
  </si>
  <si>
    <t>Logged as a woodworker account</t>
  </si>
  <si>
    <t>isInstall</t>
  </si>
  <si>
    <t>null / emplty</t>
  </si>
  <si>
    <t>1 (valid)</t>
  </si>
  <si>
    <t>0 (invalid id)</t>
  </si>
  <si>
    <t>img</t>
  </si>
  <si>
    <t>valid img url link</t>
  </si>
  <si>
    <t>categoryId</t>
  </si>
  <si>
    <t>1 (valid id)</t>
  </si>
  <si>
    <t>configurations</t>
  </si>
  <si>
    <t>[
    {
      "id": 0,
      "name": "string",
      "values": [
        {
          "id": 0,
          "name": "string"
        }
      ]
    }
  ]</t>
  </si>
  <si>
    <t>[
    {
      "id": 1,
      "name": "Config1",
      "values": [
        {
          "id": 1,
          "name": "Value1"
        }
      ]
    }
]</t>
  </si>
  <si>
    <t>prices</t>
  </si>
  <si>
    <t>[
    {
      "config": [
        0
      ],
      "configValue": [
        0
      ],
      "price": 0
    }
  ]</t>
  </si>
  <si>
    <t>[
    {
      "config": [
        1
      ],
      "configValue": [
        1
      ],
      "price": 1000000
    }
]</t>
  </si>
  <si>
    <t>"Must provide data to isInstall"</t>
  </si>
  <si>
    <t>"Cannot find woodworker"</t>
  </si>
  <si>
    <t>"Must provide data to woodworkerId"</t>
  </si>
  <si>
    <t>"Must provide data to img"</t>
  </si>
  <si>
    <t>"Must provide data to description"</t>
  </si>
  <si>
    <t>"Category is invalid"</t>
  </si>
  <si>
    <t>"Configurationss and price is invalid"</t>
  </si>
  <si>
    <t>"Create success"</t>
  </si>
  <si>
    <t>availableServiceId</t>
  </si>
  <si>
    <t>toDistrictId</t>
  </si>
  <si>
    <t>toWardCode</t>
  </si>
  <si>
    <t>"3030" (valid code)</t>
  </si>
  <si>
    <t>"0" (invalid code)</t>
  </si>
  <si>
    <t>ghnServiceId</t>
  </si>
  <si>
    <t>ghnServiceTypeId</t>
  </si>
  <si>
    <t>note</t>
  </si>
  <si>
    <t>null / empty string</t>
  </si>
  <si>
    <t>"Note"</t>
  </si>
  <si>
    <t>"123 street"</t>
  </si>
  <si>
    <t>requestedProducts</t>
  </si>
  <si>
    <t>[
    {      "categoryId": "string",
      "quantity": "string",
      "techSpecs": [
        {
          "techSpecId": 0,
          "values": "string"
        }
      ]
    }
 ]</t>
  </si>
  <si>
    <t>[
    {
      "categoryId": "1",
      "quantity": "1",
      "techSpecs": [
        {
          "techSpecId": 1,
          "values": "1"
        }
      ]
    }
 ]</t>
  </si>
  <si>
    <t>priceShipping</t>
  </si>
  <si>
    <t>"avaiilableServiceId not valid"</t>
  </si>
  <si>
    <t>"toDistrictId not valid"</t>
  </si>
  <si>
    <t>"wardCode not valid"</t>
  </si>
  <si>
    <t>"userId not valid"</t>
  </si>
  <si>
    <t>"address not valid"</t>
  </si>
  <si>
    <t>"requestedProducts not valid"</t>
  </si>
  <si>
    <t>"isInstall not valid"</t>
  </si>
  <si>
    <t>"priceShipping not valid"</t>
  </si>
  <si>
    <t>"creaate success"</t>
  </si>
  <si>
    <t>DFID101</t>
  </si>
  <si>
    <t>DFID102</t>
  </si>
  <si>
    <t>"Description"</t>
  </si>
  <si>
    <t>designIdeaVariantIds</t>
  </si>
  <si>
    <t>[
    {
      "designIdeaVariantId": 0,
      "quantity": 0
    }
]</t>
  </si>
  <si>
    <t>[
    {
      "designIdeaVariantId": 1,
      "quantity": 1
    }
]</t>
  </si>
  <si>
    <t>DFID111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</si>
</sst>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6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  <font>
      <sz val="10"/>
      <color rgb="FF000000"/>
      <name val="Tahoma"/>
      <charset val="1"/>
    </font>
    <font>
      <u/>
      <sz val="11"/>
      <color theme="10"/>
      <name val="ＭＳ Ｐゴシック"/>
      <family val="3"/>
      <charset val="128"/>
    </font>
    <font>
      <sz val="9"/>
      <color rgb="FFFFFFFF"/>
      <name val="Consolas"/>
      <charset val="1"/>
    </font>
    <font>
      <b/>
      <sz val="8"/>
      <color rgb="FF000000"/>
      <name val="Tahoma"/>
    </font>
    <font>
      <sz val="8"/>
      <color rgb="FF000000"/>
      <name val="Tahoma"/>
      <charset val="1"/>
    </font>
    <font>
      <sz val="9"/>
      <name val="Tahoma"/>
      <family val="2"/>
    </font>
    <font>
      <sz val="11"/>
      <color rgb="FF000000"/>
      <name val="Calibri"/>
      <family val="2"/>
    </font>
    <font>
      <u/>
      <sz val="10"/>
      <color rgb="FF0000FF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526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 applyAlignment="1"/>
    <xf numFmtId="0" fontId="26" fillId="0" borderId="0" xfId="41" applyFont="1" applyBorder="1" applyAlignment="1">
      <alignment horizontal="left"/>
    </xf>
    <xf numFmtId="0" fontId="24" fillId="0" borderId="0" xfId="41" applyFont="1" applyBorder="1" applyAlignment="1"/>
    <xf numFmtId="0" fontId="26" fillId="0" borderId="0" xfId="41" applyFont="1" applyBorder="1" applyAlignment="1">
      <alignment horizontal="left" indent="1"/>
    </xf>
    <xf numFmtId="0" fontId="24" fillId="0" borderId="0" xfId="41" applyFont="1" applyFill="1"/>
    <xf numFmtId="0" fontId="24" fillId="0" borderId="0" xfId="41" applyFont="1" applyBorder="1"/>
    <xf numFmtId="0" fontId="24" fillId="0" borderId="0" xfId="41" applyFont="1" applyAlignment="1">
      <alignment vertical="center"/>
    </xf>
    <xf numFmtId="164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64" fontId="24" fillId="0" borderId="16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164" fontId="24" fillId="0" borderId="18" xfId="41" applyNumberFormat="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 applyBorder="1" applyAlignment="1"/>
    <xf numFmtId="0" fontId="24" fillId="24" borderId="0" xfId="41" applyFont="1" applyFill="1" applyBorder="1" applyAlignment="1"/>
    <xf numFmtId="0" fontId="24" fillId="24" borderId="0" xfId="41" applyFont="1" applyFill="1" applyBorder="1" applyAlignment="1">
      <alignment wrapText="1"/>
    </xf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 applyBorder="1"/>
    <xf numFmtId="0" fontId="24" fillId="24" borderId="0" xfId="38" applyFont="1" applyFill="1" applyBorder="1"/>
    <xf numFmtId="164" fontId="24" fillId="24" borderId="0" xfId="38" applyNumberFormat="1" applyFont="1" applyFill="1" applyBorder="1"/>
    <xf numFmtId="0" fontId="25" fillId="24" borderId="0" xfId="41" applyFont="1" applyFill="1"/>
    <xf numFmtId="0" fontId="26" fillId="24" borderId="0" xfId="38" applyFont="1" applyFill="1" applyBorder="1"/>
    <xf numFmtId="0" fontId="24" fillId="24" borderId="0" xfId="41" applyFont="1" applyFill="1" applyBorder="1"/>
    <xf numFmtId="0" fontId="27" fillId="25" borderId="21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 wrapText="1"/>
    </xf>
    <xf numFmtId="0" fontId="27" fillId="25" borderId="22" xfId="41" applyNumberFormat="1" applyFont="1" applyFill="1" applyBorder="1" applyAlignment="1">
      <alignment horizontal="center"/>
    </xf>
    <xf numFmtId="0" fontId="27" fillId="25" borderId="25" xfId="41" applyNumberFormat="1" applyFont="1" applyFill="1" applyBorder="1" applyAlignment="1">
      <alignment horizontal="center" wrapText="1"/>
    </xf>
    <xf numFmtId="0" fontId="24" fillId="24" borderId="23" xfId="41" applyNumberFormat="1" applyFont="1" applyFill="1" applyBorder="1" applyAlignment="1">
      <alignment horizontal="center"/>
    </xf>
    <xf numFmtId="0" fontId="24" fillId="24" borderId="15" xfId="41" applyNumberFormat="1" applyFont="1" applyFill="1" applyBorder="1" applyAlignment="1">
      <alignment horizontal="center"/>
    </xf>
    <xf numFmtId="0" fontId="24" fillId="24" borderId="26" xfId="41" applyNumberFormat="1" applyFont="1" applyFill="1" applyBorder="1" applyAlignment="1">
      <alignment horizontal="center"/>
    </xf>
    <xf numFmtId="0" fontId="32" fillId="25" borderId="24" xfId="41" applyNumberFormat="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Border="1" applyAlignment="1">
      <alignment horizontal="center"/>
    </xf>
    <xf numFmtId="10" fontId="24" fillId="24" borderId="0" xfId="41" applyNumberFormat="1" applyFont="1" applyFill="1" applyBorder="1" applyAlignment="1">
      <alignment horizontal="center"/>
    </xf>
    <xf numFmtId="9" fontId="24" fillId="24" borderId="0" xfId="41" applyNumberFormat="1" applyFont="1" applyFill="1" applyBorder="1" applyAlignment="1">
      <alignment horizontal="center"/>
    </xf>
    <xf numFmtId="0" fontId="33" fillId="24" borderId="0" xfId="41" applyFont="1" applyFill="1" applyBorder="1" applyAlignment="1">
      <alignment horizontal="center" wrapText="1"/>
    </xf>
    <xf numFmtId="0" fontId="35" fillId="0" borderId="27" xfId="41" applyFont="1" applyBorder="1"/>
    <xf numFmtId="0" fontId="36" fillId="0" borderId="27" xfId="41" applyFont="1" applyBorder="1" applyAlignment="1">
      <alignment horizontal="left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8" xfId="41" applyFont="1" applyBorder="1"/>
    <xf numFmtId="0" fontId="36" fillId="0" borderId="0" xfId="41" applyFont="1" applyAlignment="1">
      <alignment horizontal="left"/>
    </xf>
    <xf numFmtId="0" fontId="36" fillId="0" borderId="0" xfId="41" applyFont="1" applyFill="1"/>
    <xf numFmtId="49" fontId="35" fillId="0" borderId="0" xfId="41" applyNumberFormat="1" applyFont="1" applyBorder="1"/>
    <xf numFmtId="0" fontId="35" fillId="0" borderId="0" xfId="41" applyFont="1" applyBorder="1"/>
    <xf numFmtId="0" fontId="36" fillId="27" borderId="29" xfId="41" applyFont="1" applyFill="1" applyBorder="1" applyAlignment="1">
      <alignment horizontal="left" vertical="top"/>
    </xf>
    <xf numFmtId="0" fontId="35" fillId="27" borderId="30" xfId="41" applyFont="1" applyFill="1" applyBorder="1" applyAlignment="1">
      <alignment horizontal="center" vertical="top"/>
    </xf>
    <xf numFmtId="0" fontId="35" fillId="27" borderId="31" xfId="41" applyFont="1" applyFill="1" applyBorder="1" applyAlignment="1">
      <alignment horizontal="right" vertical="top"/>
    </xf>
    <xf numFmtId="0" fontId="38" fillId="28" borderId="32" xfId="41" applyFont="1" applyFill="1" applyBorder="1" applyAlignment="1">
      <alignment horizontal="right"/>
    </xf>
    <xf numFmtId="0" fontId="39" fillId="0" borderId="33" xfId="41" applyFont="1" applyBorder="1" applyAlignment="1">
      <alignment horizontal="center"/>
    </xf>
    <xf numFmtId="0" fontId="38" fillId="28" borderId="0" xfId="41" applyFont="1" applyFill="1" applyBorder="1" applyAlignment="1">
      <alignment horizontal="right"/>
    </xf>
    <xf numFmtId="0" fontId="35" fillId="0" borderId="0" xfId="41" applyFont="1" applyFill="1" applyBorder="1" applyAlignment="1">
      <alignment vertical="top"/>
    </xf>
    <xf numFmtId="0" fontId="35" fillId="28" borderId="0" xfId="41" applyFont="1" applyFill="1" applyBorder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 applyAlignment="1">
      <alignment horizontal="left" vertical="top"/>
    </xf>
    <xf numFmtId="0" fontId="35" fillId="27" borderId="35" xfId="41" applyFont="1" applyFill="1" applyBorder="1" applyAlignment="1">
      <alignment horizontal="center" vertical="top"/>
    </xf>
    <xf numFmtId="0" fontId="35" fillId="27" borderId="36" xfId="41" applyFont="1" applyFill="1" applyBorder="1" applyAlignment="1">
      <alignment horizontal="right" vertical="top"/>
    </xf>
    <xf numFmtId="0" fontId="35" fillId="28" borderId="37" xfId="41" applyFont="1" applyFill="1" applyBorder="1" applyAlignment="1">
      <alignment horizontal="right"/>
    </xf>
    <xf numFmtId="0" fontId="39" fillId="0" borderId="38" xfId="41" applyFont="1" applyBorder="1" applyAlignment="1">
      <alignment horizontal="center"/>
    </xf>
    <xf numFmtId="0" fontId="36" fillId="27" borderId="39" xfId="41" applyFont="1" applyFill="1" applyBorder="1" applyAlignment="1"/>
    <xf numFmtId="0" fontId="36" fillId="27" borderId="40" xfId="41" applyFont="1" applyFill="1" applyBorder="1" applyAlignment="1"/>
    <xf numFmtId="0" fontId="35" fillId="27" borderId="41" xfId="41" applyFont="1" applyFill="1" applyBorder="1" applyAlignment="1">
      <alignment horizontal="right"/>
    </xf>
    <xf numFmtId="0" fontId="35" fillId="28" borderId="42" xfId="41" applyFont="1" applyFill="1" applyBorder="1" applyAlignment="1">
      <alignment horizontal="left"/>
    </xf>
    <xf numFmtId="0" fontId="39" fillId="0" borderId="42" xfId="41" applyFont="1" applyBorder="1" applyAlignment="1">
      <alignment horizontal="center"/>
    </xf>
    <xf numFmtId="0" fontId="36" fillId="27" borderId="29" xfId="41" applyFont="1" applyFill="1" applyBorder="1" applyAlignment="1"/>
    <xf numFmtId="0" fontId="35" fillId="27" borderId="30" xfId="41" applyFont="1" applyFill="1" applyBorder="1" applyAlignment="1"/>
    <xf numFmtId="0" fontId="35" fillId="27" borderId="31" xfId="41" applyFont="1" applyFill="1" applyBorder="1" applyAlignment="1">
      <alignment horizontal="right"/>
    </xf>
    <xf numFmtId="0" fontId="35" fillId="28" borderId="33" xfId="41" applyFont="1" applyFill="1" applyBorder="1" applyAlignment="1">
      <alignment horizontal="left"/>
    </xf>
    <xf numFmtId="0" fontId="2" fillId="27" borderId="30" xfId="41" applyFill="1" applyBorder="1" applyAlignment="1"/>
    <xf numFmtId="0" fontId="35" fillId="28" borderId="33" xfId="41" applyFont="1" applyFill="1" applyBorder="1"/>
    <xf numFmtId="0" fontId="41" fillId="0" borderId="33" xfId="41" applyFont="1" applyBorder="1" applyAlignment="1">
      <alignment horizontal="center"/>
    </xf>
    <xf numFmtId="0" fontId="37" fillId="0" borderId="33" xfId="41" applyFont="1" applyBorder="1" applyAlignment="1">
      <alignment horizontal="left"/>
    </xf>
    <xf numFmtId="0" fontId="35" fillId="0" borderId="33" xfId="41" applyFont="1" applyBorder="1"/>
    <xf numFmtId="165" fontId="35" fillId="0" borderId="33" xfId="41" applyNumberFormat="1" applyFont="1" applyBorder="1" applyAlignment="1">
      <alignment vertical="top" textRotation="255"/>
    </xf>
    <xf numFmtId="0" fontId="35" fillId="0" borderId="0" xfId="42" applyFont="1"/>
    <xf numFmtId="0" fontId="35" fillId="0" borderId="0" xfId="42" applyFont="1" applyAlignment="1">
      <alignment horizontal="right"/>
    </xf>
    <xf numFmtId="49" fontId="35" fillId="0" borderId="0" xfId="42" applyNumberFormat="1" applyFont="1"/>
    <xf numFmtId="0" fontId="35" fillId="0" borderId="28" xfId="42" applyFont="1" applyBorder="1"/>
    <xf numFmtId="0" fontId="36" fillId="0" borderId="0" xfId="42" applyFont="1" applyAlignment="1">
      <alignment horizontal="left"/>
    </xf>
    <xf numFmtId="0" fontId="36" fillId="0" borderId="0" xfId="42" applyFont="1" applyFill="1"/>
    <xf numFmtId="49" fontId="35" fillId="0" borderId="0" xfId="42" applyNumberFormat="1" applyFont="1" applyBorder="1"/>
    <xf numFmtId="0" fontId="35" fillId="0" borderId="0" xfId="42" applyFont="1" applyBorder="1"/>
    <xf numFmtId="0" fontId="36" fillId="27" borderId="29" xfId="42" applyFont="1" applyFill="1" applyBorder="1" applyAlignment="1">
      <alignment horizontal="left" vertical="top"/>
    </xf>
    <xf numFmtId="0" fontId="35" fillId="27" borderId="30" xfId="42" applyFont="1" applyFill="1" applyBorder="1" applyAlignment="1">
      <alignment horizontal="center" vertical="top"/>
    </xf>
    <xf numFmtId="0" fontId="35" fillId="27" borderId="31" xfId="42" applyFont="1" applyFill="1" applyBorder="1" applyAlignment="1">
      <alignment horizontal="right" vertical="top"/>
    </xf>
    <xf numFmtId="0" fontId="38" fillId="28" borderId="32" xfId="42" applyFont="1" applyFill="1" applyBorder="1" applyAlignment="1">
      <alignment horizontal="right"/>
    </xf>
    <xf numFmtId="0" fontId="39" fillId="0" borderId="33" xfId="42" applyFont="1" applyBorder="1" applyAlignment="1">
      <alignment horizontal="center"/>
    </xf>
    <xf numFmtId="0" fontId="38" fillId="28" borderId="0" xfId="42" applyFont="1" applyFill="1" applyBorder="1" applyAlignment="1">
      <alignment horizontal="right"/>
    </xf>
    <xf numFmtId="0" fontId="35" fillId="0" borderId="0" xfId="42" applyFont="1" applyFill="1" applyBorder="1" applyAlignment="1">
      <alignment vertical="top"/>
    </xf>
    <xf numFmtId="0" fontId="35" fillId="28" borderId="0" xfId="42" applyFont="1" applyFill="1" applyBorder="1" applyAlignment="1">
      <alignment horizontal="right"/>
    </xf>
    <xf numFmtId="0" fontId="40" fillId="0" borderId="0" xfId="42" applyFont="1" applyAlignment="1">
      <alignment horizontal="center"/>
    </xf>
    <xf numFmtId="0" fontId="36" fillId="27" borderId="34" xfId="42" applyFont="1" applyFill="1" applyBorder="1" applyAlignment="1">
      <alignment horizontal="left" vertical="top"/>
    </xf>
    <xf numFmtId="0" fontId="35" fillId="27" borderId="35" xfId="42" applyFont="1" applyFill="1" applyBorder="1" applyAlignment="1">
      <alignment horizontal="center" vertical="top"/>
    </xf>
    <xf numFmtId="0" fontId="35" fillId="27" borderId="36" xfId="42" applyFont="1" applyFill="1" applyBorder="1" applyAlignment="1">
      <alignment horizontal="right" vertical="top"/>
    </xf>
    <xf numFmtId="0" fontId="35" fillId="28" borderId="37" xfId="42" applyFont="1" applyFill="1" applyBorder="1" applyAlignment="1">
      <alignment horizontal="right"/>
    </xf>
    <xf numFmtId="0" fontId="39" fillId="0" borderId="38" xfId="42" applyFont="1" applyBorder="1" applyAlignment="1">
      <alignment horizontal="center"/>
    </xf>
    <xf numFmtId="0" fontId="36" fillId="27" borderId="39" xfId="42" applyFont="1" applyFill="1" applyBorder="1" applyAlignment="1"/>
    <xf numFmtId="0" fontId="36" fillId="27" borderId="40" xfId="42" applyFont="1" applyFill="1" applyBorder="1" applyAlignment="1"/>
    <xf numFmtId="0" fontId="35" fillId="27" borderId="41" xfId="42" applyFont="1" applyFill="1" applyBorder="1" applyAlignment="1">
      <alignment horizontal="right"/>
    </xf>
    <xf numFmtId="0" fontId="35" fillId="28" borderId="42" xfId="42" applyFont="1" applyFill="1" applyBorder="1" applyAlignment="1">
      <alignment horizontal="left"/>
    </xf>
    <xf numFmtId="0" fontId="39" fillId="0" borderId="42" xfId="42" applyFont="1" applyBorder="1" applyAlignment="1">
      <alignment horizontal="center"/>
    </xf>
    <xf numFmtId="0" fontId="36" fillId="27" borderId="29" xfId="42" applyFont="1" applyFill="1" applyBorder="1" applyAlignment="1"/>
    <xf numFmtId="0" fontId="35" fillId="27" borderId="30" xfId="42" applyFont="1" applyFill="1" applyBorder="1" applyAlignment="1"/>
    <xf numFmtId="0" fontId="35" fillId="27" borderId="31" xfId="42" applyFont="1" applyFill="1" applyBorder="1" applyAlignment="1">
      <alignment horizontal="right"/>
    </xf>
    <xf numFmtId="0" fontId="35" fillId="28" borderId="33" xfId="42" applyFont="1" applyFill="1" applyBorder="1" applyAlignment="1">
      <alignment horizontal="left"/>
    </xf>
    <xf numFmtId="0" fontId="1" fillId="27" borderId="30" xfId="42" applyFill="1" applyBorder="1" applyAlignment="1"/>
    <xf numFmtId="0" fontId="35" fillId="28" borderId="33" xfId="42" applyFont="1" applyFill="1" applyBorder="1"/>
    <xf numFmtId="0" fontId="41" fillId="0" borderId="33" xfId="42" applyFont="1" applyBorder="1" applyAlignment="1">
      <alignment horizontal="center"/>
    </xf>
    <xf numFmtId="0" fontId="37" fillId="0" borderId="33" xfId="42" applyFont="1" applyBorder="1" applyAlignment="1">
      <alignment horizontal="left"/>
    </xf>
    <xf numFmtId="0" fontId="36" fillId="27" borderId="29" xfId="41" applyFont="1" applyFill="1" applyBorder="1" applyAlignment="1">
      <alignment horizontal="right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0" borderId="0" xfId="41" applyFont="1" applyFill="1" applyBorder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49" fontId="31" fillId="24" borderId="15" xfId="34" applyNumberFormat="1" applyFont="1" applyFill="1" applyBorder="1"/>
    <xf numFmtId="0" fontId="52" fillId="0" borderId="33" xfId="41" applyFont="1" applyBorder="1" applyAlignment="1">
      <alignment horizontal="center"/>
    </xf>
    <xf numFmtId="0" fontId="36" fillId="0" borderId="0" xfId="41" applyFont="1" applyAlignment="1">
      <alignment horizontal="center"/>
    </xf>
    <xf numFmtId="0" fontId="52" fillId="0" borderId="38" xfId="41" applyFont="1" applyBorder="1" applyAlignment="1">
      <alignment horizontal="center"/>
    </xf>
    <xf numFmtId="0" fontId="52" fillId="0" borderId="42" xfId="41" applyFont="1" applyBorder="1" applyAlignment="1">
      <alignment horizontal="center"/>
    </xf>
    <xf numFmtId="0" fontId="51" fillId="27" borderId="30" xfId="41" applyFont="1" applyFill="1" applyBorder="1" applyAlignment="1"/>
    <xf numFmtId="0" fontId="35" fillId="0" borderId="33" xfId="41" applyFont="1" applyBorder="1" applyAlignment="1">
      <alignment horizontal="center"/>
    </xf>
    <xf numFmtId="0" fontId="38" fillId="24" borderId="44" xfId="39" applyFont="1" applyFill="1" applyBorder="1" applyAlignment="1">
      <alignment wrapText="1"/>
    </xf>
    <xf numFmtId="0" fontId="38" fillId="24" borderId="45" xfId="39" applyFont="1" applyFill="1" applyBorder="1" applyAlignment="1">
      <alignment wrapText="1"/>
    </xf>
    <xf numFmtId="0" fontId="35" fillId="24" borderId="46" xfId="41" applyNumberFormat="1" applyFont="1" applyFill="1" applyBorder="1" applyAlignment="1">
      <alignment horizontal="center" vertical="center"/>
    </xf>
    <xf numFmtId="0" fontId="36" fillId="0" borderId="0" xfId="41" applyFont="1" applyBorder="1" applyAlignment="1">
      <alignment horizontal="left"/>
    </xf>
    <xf numFmtId="0" fontId="35" fillId="0" borderId="0" xfId="41" applyFont="1" applyAlignment="1">
      <alignment horizontal="center"/>
    </xf>
    <xf numFmtId="0" fontId="35" fillId="0" borderId="47" xfId="41" applyFont="1" applyBorder="1"/>
    <xf numFmtId="0" fontId="36" fillId="0" borderId="0" xfId="42" applyFont="1" applyBorder="1" applyAlignment="1">
      <alignment horizontal="left"/>
    </xf>
    <xf numFmtId="0" fontId="30" fillId="24" borderId="43" xfId="41" applyFont="1" applyFill="1" applyBorder="1" applyAlignment="1">
      <alignment horizontal="left" vertical="center"/>
    </xf>
    <xf numFmtId="0" fontId="30" fillId="24" borderId="43" xfId="41" applyFont="1" applyFill="1" applyBorder="1" applyAlignment="1">
      <alignment vertical="center"/>
    </xf>
    <xf numFmtId="0" fontId="30" fillId="24" borderId="0" xfId="41" applyFont="1" applyFill="1" applyBorder="1" applyAlignment="1">
      <alignment horizontal="left"/>
    </xf>
    <xf numFmtId="2" fontId="30" fillId="24" borderId="0" xfId="41" applyNumberFormat="1" applyFont="1" applyFill="1" applyBorder="1" applyAlignment="1">
      <alignment horizontal="right" wrapText="1"/>
    </xf>
    <xf numFmtId="0" fontId="38" fillId="24" borderId="48" xfId="39" applyFont="1" applyFill="1" applyBorder="1" applyAlignment="1">
      <alignment horizontal="left" wrapText="1"/>
    </xf>
    <xf numFmtId="0" fontId="36" fillId="27" borderId="49" xfId="41" applyFont="1" applyFill="1" applyBorder="1" applyAlignment="1"/>
    <xf numFmtId="0" fontId="35" fillId="27" borderId="32" xfId="41" applyFont="1" applyFill="1" applyBorder="1" applyAlignment="1"/>
    <xf numFmtId="0" fontId="35" fillId="27" borderId="50" xfId="41" applyFont="1" applyFill="1" applyBorder="1" applyAlignment="1">
      <alignment horizontal="right"/>
    </xf>
    <xf numFmtId="0" fontId="35" fillId="28" borderId="51" xfId="41" applyFont="1" applyFill="1" applyBorder="1" applyAlignment="1">
      <alignment horizontal="left"/>
    </xf>
    <xf numFmtId="0" fontId="52" fillId="0" borderId="51" xfId="41" applyFont="1" applyBorder="1" applyAlignment="1">
      <alignment horizontal="center"/>
    </xf>
    <xf numFmtId="0" fontId="35" fillId="0" borderId="52" xfId="41" applyFont="1" applyBorder="1" applyAlignment="1">
      <alignment horizontal="center"/>
    </xf>
    <xf numFmtId="0" fontId="55" fillId="0" borderId="0" xfId="41" applyFont="1" applyFill="1" applyBorder="1" applyAlignment="1">
      <alignment vertical="top"/>
    </xf>
    <xf numFmtId="0" fontId="55" fillId="30" borderId="53" xfId="41" applyFont="1" applyFill="1" applyBorder="1" applyAlignment="1">
      <alignment horizontal="left"/>
    </xf>
    <xf numFmtId="0" fontId="56" fillId="30" borderId="53" xfId="41" applyFont="1" applyFill="1" applyBorder="1"/>
    <xf numFmtId="0" fontId="56" fillId="30" borderId="53" xfId="41" applyFont="1" applyFill="1" applyBorder="1" applyAlignment="1">
      <alignment horizontal="right"/>
    </xf>
    <xf numFmtId="0" fontId="55" fillId="30" borderId="53" xfId="41" applyFont="1" applyFill="1" applyBorder="1" applyAlignment="1">
      <alignment vertical="top" textRotation="180"/>
    </xf>
    <xf numFmtId="0" fontId="55" fillId="30" borderId="54" xfId="41" applyFont="1" applyFill="1" applyBorder="1" applyAlignment="1">
      <alignment vertical="top" textRotation="180"/>
    </xf>
    <xf numFmtId="0" fontId="52" fillId="0" borderId="55" xfId="41" applyFont="1" applyBorder="1" applyAlignment="1">
      <alignment horizontal="center"/>
    </xf>
    <xf numFmtId="0" fontId="55" fillId="30" borderId="56" xfId="41" applyFont="1" applyFill="1" applyBorder="1" applyAlignment="1">
      <alignment vertical="center"/>
    </xf>
    <xf numFmtId="0" fontId="52" fillId="0" borderId="57" xfId="41" applyFont="1" applyBorder="1" applyAlignment="1">
      <alignment horizontal="center"/>
    </xf>
    <xf numFmtId="0" fontId="52" fillId="0" borderId="58" xfId="41" applyFont="1" applyBorder="1" applyAlignment="1">
      <alignment horizontal="center"/>
    </xf>
    <xf numFmtId="0" fontId="52" fillId="0" borderId="59" xfId="41" applyFont="1" applyBorder="1" applyAlignment="1">
      <alignment horizontal="center"/>
    </xf>
    <xf numFmtId="0" fontId="35" fillId="0" borderId="60" xfId="41" applyFont="1" applyBorder="1" applyAlignment="1">
      <alignment horizontal="center"/>
    </xf>
    <xf numFmtId="0" fontId="55" fillId="30" borderId="61" xfId="41" applyFont="1" applyFill="1" applyBorder="1" applyAlignment="1">
      <alignment vertical="top"/>
    </xf>
    <xf numFmtId="0" fontId="35" fillId="0" borderId="55" xfId="41" applyFont="1" applyBorder="1" applyAlignment="1">
      <alignment horizontal="center"/>
    </xf>
    <xf numFmtId="165" fontId="35" fillId="0" borderId="55" xfId="41" applyNumberFormat="1" applyFont="1" applyBorder="1" applyAlignment="1">
      <alignment vertical="top" textRotation="255"/>
    </xf>
    <xf numFmtId="0" fontId="55" fillId="30" borderId="62" xfId="41" applyFont="1" applyFill="1" applyBorder="1" applyAlignment="1">
      <alignment vertical="top"/>
    </xf>
    <xf numFmtId="0" fontId="35" fillId="0" borderId="38" xfId="41" applyFont="1" applyBorder="1"/>
    <xf numFmtId="0" fontId="35" fillId="0" borderId="38" xfId="41" applyFont="1" applyBorder="1" applyAlignment="1">
      <alignment textRotation="255"/>
    </xf>
    <xf numFmtId="0" fontId="35" fillId="0" borderId="57" xfId="41" applyFont="1" applyBorder="1" applyAlignment="1">
      <alignment textRotation="255"/>
    </xf>
    <xf numFmtId="0" fontId="55" fillId="30" borderId="56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center"/>
    </xf>
    <xf numFmtId="0" fontId="36" fillId="27" borderId="39" xfId="41" applyFont="1" applyFill="1" applyBorder="1" applyAlignment="1">
      <alignment horizontal="left" vertical="top"/>
    </xf>
    <xf numFmtId="0" fontId="35" fillId="27" borderId="40" xfId="41" applyFont="1" applyFill="1" applyBorder="1" applyAlignment="1">
      <alignment horizontal="center" vertical="top"/>
    </xf>
    <xf numFmtId="0" fontId="35" fillId="27" borderId="41" xfId="41" applyFont="1" applyFill="1" applyBorder="1" applyAlignment="1">
      <alignment horizontal="right" vertical="top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56" fillId="30" borderId="64" xfId="41" applyFont="1" applyFill="1" applyBorder="1"/>
    <xf numFmtId="0" fontId="55" fillId="30" borderId="65" xfId="41" applyFont="1" applyFill="1" applyBorder="1" applyAlignment="1">
      <alignment horizontal="left"/>
    </xf>
    <xf numFmtId="0" fontId="56" fillId="30" borderId="65" xfId="41" applyFont="1" applyFill="1" applyBorder="1"/>
    <xf numFmtId="0" fontId="56" fillId="30" borderId="65" xfId="41" applyFont="1" applyFill="1" applyBorder="1" applyAlignment="1">
      <alignment horizontal="right"/>
    </xf>
    <xf numFmtId="0" fontId="55" fillId="30" borderId="65" xfId="41" applyFont="1" applyFill="1" applyBorder="1" applyAlignment="1">
      <alignment vertical="top" textRotation="180"/>
    </xf>
    <xf numFmtId="0" fontId="39" fillId="0" borderId="55" xfId="41" applyFont="1" applyBorder="1" applyAlignment="1">
      <alignment horizontal="center"/>
    </xf>
    <xf numFmtId="0" fontId="39" fillId="0" borderId="57" xfId="41" applyFont="1" applyBorder="1" applyAlignment="1">
      <alignment horizontal="center"/>
    </xf>
    <xf numFmtId="0" fontId="39" fillId="0" borderId="58" xfId="41" applyFont="1" applyBorder="1" applyAlignment="1">
      <alignment horizontal="center"/>
    </xf>
    <xf numFmtId="0" fontId="39" fillId="0" borderId="59" xfId="41" applyFont="1" applyBorder="1" applyAlignment="1">
      <alignment horizontal="center"/>
    </xf>
    <xf numFmtId="0" fontId="41" fillId="0" borderId="60" xfId="41" applyFont="1" applyBorder="1" applyAlignment="1">
      <alignment horizontal="center"/>
    </xf>
    <xf numFmtId="0" fontId="41" fillId="0" borderId="55" xfId="41" applyFont="1" applyBorder="1" applyAlignment="1">
      <alignment horizontal="center"/>
    </xf>
    <xf numFmtId="0" fontId="55" fillId="30" borderId="66" xfId="41" applyFont="1" applyFill="1" applyBorder="1" applyAlignment="1">
      <alignment vertical="top"/>
    </xf>
    <xf numFmtId="164" fontId="27" fillId="25" borderId="67" xfId="41" applyNumberFormat="1" applyFont="1" applyFill="1" applyBorder="1" applyAlignment="1">
      <alignment horizontal="center" vertical="center"/>
    </xf>
    <xf numFmtId="0" fontId="55" fillId="30" borderId="68" xfId="41" applyFont="1" applyFill="1" applyBorder="1" applyAlignment="1">
      <alignment horizontal="left"/>
    </xf>
    <xf numFmtId="0" fontId="56" fillId="30" borderId="68" xfId="41" applyFont="1" applyFill="1" applyBorder="1"/>
    <xf numFmtId="0" fontId="56" fillId="30" borderId="68" xfId="41" applyFont="1" applyFill="1" applyBorder="1" applyAlignment="1">
      <alignment horizontal="right"/>
    </xf>
    <xf numFmtId="0" fontId="55" fillId="30" borderId="68" xfId="41" applyFont="1" applyFill="1" applyBorder="1" applyAlignment="1">
      <alignment vertical="top" textRotation="180"/>
    </xf>
    <xf numFmtId="0" fontId="55" fillId="30" borderId="69" xfId="41" applyFont="1" applyFill="1" applyBorder="1" applyAlignment="1">
      <alignment vertical="top" textRotation="180"/>
    </xf>
    <xf numFmtId="0" fontId="38" fillId="24" borderId="44" xfId="40" applyFont="1" applyFill="1" applyBorder="1" applyAlignment="1">
      <alignment wrapText="1"/>
    </xf>
    <xf numFmtId="0" fontId="38" fillId="24" borderId="45" xfId="40" applyFont="1" applyFill="1" applyBorder="1" applyAlignment="1">
      <alignment wrapText="1"/>
    </xf>
    <xf numFmtId="0" fontId="38" fillId="24" borderId="48" xfId="40" applyFont="1" applyFill="1" applyBorder="1" applyAlignment="1">
      <alignment horizontal="left" wrapText="1"/>
    </xf>
    <xf numFmtId="0" fontId="35" fillId="24" borderId="46" xfId="42" applyNumberFormat="1" applyFont="1" applyFill="1" applyBorder="1" applyAlignment="1">
      <alignment horizontal="center" vertical="center"/>
    </xf>
    <xf numFmtId="0" fontId="36" fillId="27" borderId="49" xfId="42" applyFont="1" applyFill="1" applyBorder="1" applyAlignment="1"/>
    <xf numFmtId="0" fontId="35" fillId="27" borderId="32" xfId="42" applyFont="1" applyFill="1" applyBorder="1" applyAlignment="1"/>
    <xf numFmtId="0" fontId="35" fillId="27" borderId="50" xfId="42" applyFont="1" applyFill="1" applyBorder="1" applyAlignment="1">
      <alignment horizontal="right"/>
    </xf>
    <xf numFmtId="0" fontId="35" fillId="28" borderId="51" xfId="42" applyFont="1" applyFill="1" applyBorder="1" applyAlignment="1">
      <alignment horizontal="left"/>
    </xf>
    <xf numFmtId="0" fontId="39" fillId="0" borderId="51" xfId="42" applyFont="1" applyBorder="1" applyAlignment="1">
      <alignment horizontal="center"/>
    </xf>
    <xf numFmtId="0" fontId="41" fillId="0" borderId="52" xfId="42" applyFont="1" applyBorder="1" applyAlignment="1">
      <alignment horizontal="center"/>
    </xf>
    <xf numFmtId="0" fontId="56" fillId="30" borderId="64" xfId="42" applyFont="1" applyFill="1" applyBorder="1"/>
    <xf numFmtId="0" fontId="55" fillId="30" borderId="53" xfId="42" applyFont="1" applyFill="1" applyBorder="1" applyAlignment="1">
      <alignment horizontal="left"/>
    </xf>
    <xf numFmtId="0" fontId="56" fillId="30" borderId="53" xfId="42" applyFont="1" applyFill="1" applyBorder="1"/>
    <xf numFmtId="0" fontId="56" fillId="30" borderId="53" xfId="42" applyFont="1" applyFill="1" applyBorder="1" applyAlignment="1">
      <alignment horizontal="right"/>
    </xf>
    <xf numFmtId="0" fontId="55" fillId="30" borderId="53" xfId="42" applyFont="1" applyFill="1" applyBorder="1" applyAlignment="1">
      <alignment vertical="top" textRotation="180"/>
    </xf>
    <xf numFmtId="0" fontId="55" fillId="30" borderId="63" xfId="42" applyFont="1" applyFill="1" applyBorder="1" applyAlignment="1">
      <alignment vertical="center"/>
    </xf>
    <xf numFmtId="0" fontId="55" fillId="30" borderId="56" xfId="42" applyFont="1" applyFill="1" applyBorder="1" applyAlignment="1">
      <alignment vertical="center"/>
    </xf>
    <xf numFmtId="0" fontId="55" fillId="30" borderId="63" xfId="42" applyFont="1" applyFill="1" applyBorder="1" applyAlignment="1">
      <alignment vertical="top"/>
    </xf>
    <xf numFmtId="0" fontId="55" fillId="30" borderId="56" xfId="42" applyFont="1" applyFill="1" applyBorder="1" applyAlignment="1">
      <alignment vertical="top"/>
    </xf>
    <xf numFmtId="0" fontId="55" fillId="30" borderId="61" xfId="42" applyFont="1" applyFill="1" applyBorder="1" applyAlignment="1">
      <alignment vertical="top"/>
    </xf>
    <xf numFmtId="0" fontId="55" fillId="30" borderId="62" xfId="42" applyFont="1" applyFill="1" applyBorder="1" applyAlignment="1">
      <alignment vertical="top"/>
    </xf>
    <xf numFmtId="0" fontId="35" fillId="0" borderId="38" xfId="42" applyFont="1" applyBorder="1"/>
    <xf numFmtId="0" fontId="35" fillId="0" borderId="38" xfId="42" applyFont="1" applyBorder="1" applyAlignment="1">
      <alignment textRotation="255"/>
    </xf>
    <xf numFmtId="0" fontId="45" fillId="0" borderId="11" xfId="41" quotePrefix="1" applyFont="1" applyBorder="1" applyAlignment="1">
      <alignment horizontal="left" indent="1"/>
    </xf>
    <xf numFmtId="14" fontId="45" fillId="0" borderId="11" xfId="41" applyNumberFormat="1" applyFont="1" applyBorder="1" applyAlignment="1"/>
    <xf numFmtId="14" fontId="45" fillId="0" borderId="16" xfId="41" applyNumberFormat="1" applyFont="1" applyBorder="1" applyAlignment="1">
      <alignment vertical="top" wrapText="1"/>
    </xf>
    <xf numFmtId="0" fontId="57" fillId="0" borderId="0" xfId="0" applyFont="1">
      <alignment vertical="center"/>
    </xf>
    <xf numFmtId="49" fontId="31" fillId="24" borderId="15" xfId="34" applyNumberFormat="1" applyFont="1" applyFill="1" applyBorder="1" applyAlignment="1" applyProtection="1">
      <alignment horizontal="left" vertical="center"/>
    </xf>
    <xf numFmtId="0" fontId="30" fillId="24" borderId="43" xfId="41" applyFont="1" applyFill="1" applyBorder="1" applyAlignment="1">
      <alignment horizontal="left" wrapText="1"/>
    </xf>
    <xf numFmtId="0" fontId="25" fillId="0" borderId="0" xfId="41" applyFont="1" applyFill="1" applyBorder="1" applyAlignment="1">
      <alignment horizontal="left" wrapText="1" indent="1"/>
    </xf>
    <xf numFmtId="0" fontId="24" fillId="0" borderId="0" xfId="41" applyFont="1" applyBorder="1" applyAlignment="1">
      <alignment wrapText="1"/>
    </xf>
    <xf numFmtId="0" fontId="24" fillId="0" borderId="0" xfId="41" applyFont="1" applyAlignment="1">
      <alignment wrapText="1"/>
    </xf>
    <xf numFmtId="0" fontId="27" fillId="25" borderId="13" xfId="41" applyFont="1" applyFill="1" applyBorder="1" applyAlignment="1">
      <alignment horizontal="center" vertical="center" wrapText="1"/>
    </xf>
    <xf numFmtId="15" fontId="24" fillId="0" borderId="15" xfId="41" applyNumberFormat="1" applyFont="1" applyBorder="1" applyAlignment="1">
      <alignment vertical="top" wrapText="1"/>
    </xf>
    <xf numFmtId="0" fontId="24" fillId="0" borderId="15" xfId="41" applyFont="1" applyBorder="1" applyAlignment="1">
      <alignment vertical="top" wrapText="1"/>
    </xf>
    <xf numFmtId="0" fontId="24" fillId="0" borderId="19" xfId="41" applyFont="1" applyBorder="1" applyAlignment="1">
      <alignment vertical="top" wrapText="1"/>
    </xf>
    <xf numFmtId="0" fontId="36" fillId="24" borderId="0" xfId="39" applyFont="1" applyFill="1" applyBorder="1" applyAlignment="1">
      <alignment horizontal="left" wrapText="1"/>
    </xf>
    <xf numFmtId="0" fontId="59" fillId="0" borderId="0" xfId="0" applyFont="1">
      <alignment vertical="center"/>
    </xf>
    <xf numFmtId="0" fontId="60" fillId="0" borderId="0" xfId="41" applyFont="1"/>
    <xf numFmtId="0" fontId="36" fillId="27" borderId="49" xfId="41" applyFont="1" applyFill="1" applyBorder="1" applyAlignment="1">
      <alignment horizontal="left" vertical="top"/>
    </xf>
    <xf numFmtId="0" fontId="35" fillId="27" borderId="32" xfId="41" applyFont="1" applyFill="1" applyBorder="1" applyAlignment="1">
      <alignment horizontal="center" vertical="top"/>
    </xf>
    <xf numFmtId="0" fontId="35" fillId="27" borderId="31" xfId="41" applyFont="1" applyFill="1" applyBorder="1" applyAlignment="1">
      <alignment horizontal="right" vertical="top" wrapText="1"/>
    </xf>
    <xf numFmtId="0" fontId="35" fillId="0" borderId="0" xfId="41" applyFont="1" applyAlignment="1">
      <alignment horizontal="right" wrapText="1"/>
    </xf>
    <xf numFmtId="0" fontId="56" fillId="30" borderId="68" xfId="41" applyFont="1" applyFill="1" applyBorder="1" applyAlignment="1">
      <alignment horizontal="right" wrapText="1"/>
    </xf>
    <xf numFmtId="0" fontId="35" fillId="27" borderId="41" xfId="41" applyFont="1" applyFill="1" applyBorder="1" applyAlignment="1">
      <alignment horizontal="right" vertical="top" wrapText="1"/>
    </xf>
    <xf numFmtId="0" fontId="35" fillId="27" borderId="50" xfId="41" applyFont="1" applyFill="1" applyBorder="1" applyAlignment="1">
      <alignment horizontal="right" vertical="top" wrapText="1"/>
    </xf>
    <xf numFmtId="0" fontId="35" fillId="27" borderId="36" xfId="41" applyFont="1" applyFill="1" applyBorder="1" applyAlignment="1">
      <alignment horizontal="right" vertical="top" wrapText="1"/>
    </xf>
    <xf numFmtId="0" fontId="35" fillId="27" borderId="41" xfId="41" applyFont="1" applyFill="1" applyBorder="1" applyAlignment="1">
      <alignment horizontal="right" wrapText="1"/>
    </xf>
    <xf numFmtId="0" fontId="35" fillId="27" borderId="31" xfId="41" applyFont="1" applyFill="1" applyBorder="1" applyAlignment="1">
      <alignment horizontal="right" wrapText="1"/>
    </xf>
    <xf numFmtId="0" fontId="35" fillId="27" borderId="50" xfId="41" applyFont="1" applyFill="1" applyBorder="1" applyAlignment="1">
      <alignment horizontal="right" wrapText="1"/>
    </xf>
    <xf numFmtId="0" fontId="61" fillId="0" borderId="0" xfId="0" applyFont="1" applyAlignment="1">
      <alignment horizontal="right" vertical="center"/>
    </xf>
    <xf numFmtId="0" fontId="35" fillId="27" borderId="30" xfId="41" applyFont="1" applyFill="1" applyBorder="1" applyAlignment="1">
      <alignment horizontal="right" vertical="top" wrapText="1"/>
    </xf>
    <xf numFmtId="0" fontId="51" fillId="27" borderId="32" xfId="41" applyFont="1" applyFill="1" applyBorder="1" applyAlignment="1"/>
    <xf numFmtId="0" fontId="35" fillId="28" borderId="51" xfId="41" applyFont="1" applyFill="1" applyBorder="1"/>
    <xf numFmtId="0" fontId="36" fillId="27" borderId="29" xfId="41" applyFont="1" applyFill="1" applyBorder="1" applyAlignment="1">
      <alignment horizontal="left" vertical="top" wrapText="1"/>
    </xf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36" fillId="24" borderId="81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90" xfId="39" applyFont="1" applyFill="1" applyBorder="1" applyAlignment="1">
      <alignment horizontal="center" wrapText="1"/>
    </xf>
    <xf numFmtId="0" fontId="35" fillId="0" borderId="52" xfId="41" applyFont="1" applyFill="1" applyBorder="1" applyAlignment="1">
      <alignment horizontal="left"/>
    </xf>
    <xf numFmtId="0" fontId="35" fillId="0" borderId="52" xfId="42" applyFont="1" applyFill="1" applyBorder="1" applyAlignment="1">
      <alignment horizontal="left"/>
    </xf>
    <xf numFmtId="0" fontId="35" fillId="27" borderId="31" xfId="42" applyFont="1" applyFill="1" applyBorder="1" applyAlignment="1">
      <alignment horizontal="right" vertical="top" wrapText="1"/>
    </xf>
    <xf numFmtId="0" fontId="23" fillId="0" borderId="43" xfId="41" applyFont="1" applyBorder="1" applyAlignment="1">
      <alignment horizontal="center" vertical="center"/>
    </xf>
    <xf numFmtId="0" fontId="45" fillId="0" borderId="43" xfId="41" applyFont="1" applyBorder="1" applyAlignment="1">
      <alignment horizontal="left"/>
    </xf>
    <xf numFmtId="0" fontId="45" fillId="0" borderId="10" xfId="41" applyFont="1" applyBorder="1" applyAlignment="1">
      <alignment horizontal="left" vertical="center"/>
    </xf>
    <xf numFmtId="0" fontId="45" fillId="0" borderId="48" xfId="41" applyFont="1" applyBorder="1" applyAlignment="1">
      <alignment horizontal="left" vertical="center"/>
    </xf>
    <xf numFmtId="0" fontId="45" fillId="0" borderId="11" xfId="41" applyFont="1" applyBorder="1" applyAlignment="1">
      <alignment horizontal="left" vertical="center"/>
    </xf>
    <xf numFmtId="1" fontId="30" fillId="24" borderId="43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 applyAlignment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8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8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8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43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45" fillId="24" borderId="43" xfId="38" applyFont="1" applyFill="1" applyBorder="1" applyAlignment="1">
      <alignment vertical="top"/>
    </xf>
    <xf numFmtId="0" fontId="23" fillId="24" borderId="0" xfId="38" applyFont="1" applyFill="1" applyBorder="1" applyAlignment="1">
      <alignment horizontal="center"/>
    </xf>
    <xf numFmtId="0" fontId="30" fillId="24" borderId="10" xfId="41" applyFont="1" applyFill="1" applyBorder="1" applyAlignment="1">
      <alignment horizontal="center"/>
    </xf>
    <xf numFmtId="0" fontId="30" fillId="24" borderId="48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0" fontId="35" fillId="0" borderId="38" xfId="41" applyFont="1" applyBorder="1" applyAlignment="1">
      <alignment horizontal="left" vertical="top"/>
    </xf>
    <xf numFmtId="0" fontId="35" fillId="0" borderId="0" xfId="41" applyFont="1" applyBorder="1" applyAlignment="1">
      <alignment horizontal="right"/>
    </xf>
    <xf numFmtId="0" fontId="35" fillId="0" borderId="52" xfId="41" applyFont="1" applyFill="1" applyBorder="1" applyAlignment="1">
      <alignment horizontal="left"/>
    </xf>
    <xf numFmtId="0" fontId="35" fillId="0" borderId="33" xfId="41" applyFont="1" applyBorder="1" applyAlignment="1">
      <alignment horizontal="left"/>
    </xf>
    <xf numFmtId="0" fontId="35" fillId="0" borderId="33" xfId="41" applyFont="1" applyBorder="1" applyAlignment="1">
      <alignment horizontal="left" vertical="top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48" xfId="41" applyFont="1" applyFill="1" applyBorder="1" applyAlignment="1">
      <alignment horizontal="center" vertical="center" wrapText="1"/>
    </xf>
    <xf numFmtId="0" fontId="36" fillId="24" borderId="91" xfId="41" applyFont="1" applyFill="1" applyBorder="1" applyAlignment="1">
      <alignment horizontal="center" vertical="center" wrapText="1"/>
    </xf>
    <xf numFmtId="0" fontId="36" fillId="24" borderId="87" xfId="41" applyFont="1" applyFill="1" applyBorder="1" applyAlignment="1">
      <alignment horizontal="center" vertical="center" wrapText="1"/>
    </xf>
    <xf numFmtId="0" fontId="36" fillId="24" borderId="88" xfId="41" applyFont="1" applyFill="1" applyBorder="1" applyAlignment="1">
      <alignment horizontal="center" vertical="center" wrapText="1"/>
    </xf>
    <xf numFmtId="0" fontId="35" fillId="24" borderId="80" xfId="41" applyFont="1" applyFill="1" applyBorder="1" applyAlignment="1">
      <alignment horizontal="center" vertical="center"/>
    </xf>
    <xf numFmtId="0" fontId="35" fillId="24" borderId="79" xfId="41" applyFont="1" applyFill="1" applyBorder="1" applyAlignment="1">
      <alignment horizontal="center" vertical="center"/>
    </xf>
    <xf numFmtId="0" fontId="35" fillId="24" borderId="76" xfId="41" applyFont="1" applyFill="1" applyBorder="1" applyAlignment="1">
      <alignment horizontal="center" vertical="center"/>
    </xf>
    <xf numFmtId="0" fontId="35" fillId="24" borderId="77" xfId="41" applyFont="1" applyFill="1" applyBorder="1" applyAlignment="1">
      <alignment horizontal="center" vertical="center"/>
    </xf>
    <xf numFmtId="0" fontId="35" fillId="24" borderId="78" xfId="41" applyFont="1" applyFill="1" applyBorder="1" applyAlignment="1">
      <alignment horizontal="center" vertical="center"/>
    </xf>
    <xf numFmtId="0" fontId="35" fillId="24" borderId="46" xfId="41" applyFont="1" applyFill="1" applyBorder="1" applyAlignment="1">
      <alignment horizontal="center" vertical="center"/>
    </xf>
    <xf numFmtId="0" fontId="35" fillId="24" borderId="86" xfId="41" applyFont="1" applyFill="1" applyBorder="1" applyAlignment="1">
      <alignment horizontal="center" vertical="center"/>
    </xf>
    <xf numFmtId="0" fontId="36" fillId="24" borderId="81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81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6" fillId="24" borderId="31" xfId="39" applyFont="1" applyFill="1" applyBorder="1" applyAlignment="1">
      <alignment horizontal="left" wrapText="1"/>
    </xf>
    <xf numFmtId="0" fontId="35" fillId="24" borderId="87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90" xfId="39" applyFont="1" applyFill="1" applyBorder="1" applyAlignment="1">
      <alignment horizontal="center" wrapText="1"/>
    </xf>
    <xf numFmtId="0" fontId="38" fillId="24" borderId="84" xfId="39" applyFont="1" applyFill="1" applyBorder="1" applyAlignment="1">
      <alignment horizontal="left" wrapText="1"/>
    </xf>
    <xf numFmtId="0" fontId="38" fillId="24" borderId="85" xfId="39" applyFont="1" applyFill="1" applyBorder="1" applyAlignment="1">
      <alignment horizontal="left" wrapText="1"/>
    </xf>
    <xf numFmtId="0" fontId="36" fillId="24" borderId="70" xfId="39" applyFont="1" applyFill="1" applyBorder="1" applyAlignment="1">
      <alignment horizontal="left" wrapText="1"/>
    </xf>
    <xf numFmtId="0" fontId="36" fillId="24" borderId="71" xfId="39" applyFont="1" applyFill="1" applyBorder="1" applyAlignment="1">
      <alignment horizontal="left" wrapText="1"/>
    </xf>
    <xf numFmtId="49" fontId="38" fillId="24" borderId="72" xfId="39" applyNumberFormat="1" applyFont="1" applyFill="1" applyBorder="1" applyAlignment="1">
      <alignment horizontal="left" wrapText="1"/>
    </xf>
    <xf numFmtId="0" fontId="38" fillId="24" borderId="71" xfId="39" applyFont="1" applyFill="1" applyBorder="1" applyAlignment="1">
      <alignment horizontal="left" wrapText="1"/>
    </xf>
    <xf numFmtId="0" fontId="38" fillId="24" borderId="73" xfId="39" applyFont="1" applyFill="1" applyBorder="1" applyAlignment="1">
      <alignment horizontal="left" wrapText="1"/>
    </xf>
    <xf numFmtId="0" fontId="36" fillId="24" borderId="74" xfId="39" applyFont="1" applyFill="1" applyBorder="1" applyAlignment="1">
      <alignment horizontal="left" wrapText="1"/>
    </xf>
    <xf numFmtId="0" fontId="36" fillId="24" borderId="75" xfId="39" applyFont="1" applyFill="1" applyBorder="1" applyAlignment="1">
      <alignment horizontal="left" wrapText="1"/>
    </xf>
    <xf numFmtId="49" fontId="35" fillId="24" borderId="72" xfId="39" applyNumberFormat="1" applyFont="1" applyFill="1" applyBorder="1" applyAlignment="1">
      <alignment horizontal="center" wrapText="1"/>
    </xf>
    <xf numFmtId="0" fontId="35" fillId="24" borderId="71" xfId="39" applyFont="1" applyFill="1" applyBorder="1" applyAlignment="1">
      <alignment horizontal="center" wrapText="1"/>
    </xf>
    <xf numFmtId="0" fontId="35" fillId="24" borderId="89" xfId="39" applyFont="1" applyFill="1" applyBorder="1" applyAlignment="1">
      <alignment horizontal="center" wrapText="1"/>
    </xf>
    <xf numFmtId="0" fontId="38" fillId="24" borderId="82" xfId="39" applyFont="1" applyFill="1" applyBorder="1" applyAlignment="1">
      <alignment horizontal="left" wrapText="1"/>
    </xf>
    <xf numFmtId="0" fontId="38" fillId="24" borderId="44" xfId="39" applyFont="1" applyFill="1" applyBorder="1" applyAlignment="1">
      <alignment horizontal="left" wrapText="1"/>
    </xf>
    <xf numFmtId="0" fontId="38" fillId="24" borderId="83" xfId="39" applyFont="1" applyFill="1" applyBorder="1" applyAlignment="1">
      <alignment horizontal="left" wrapText="1"/>
    </xf>
    <xf numFmtId="0" fontId="58" fillId="0" borderId="0" xfId="34" applyFont="1" applyBorder="1" applyAlignment="1">
      <alignment horizontal="right"/>
    </xf>
    <xf numFmtId="0" fontId="36" fillId="24" borderId="93" xfId="39" applyFont="1" applyFill="1" applyBorder="1" applyAlignment="1">
      <alignment horizontal="left" wrapText="1"/>
    </xf>
    <xf numFmtId="0" fontId="36" fillId="24" borderId="94" xfId="39" applyFont="1" applyFill="1" applyBorder="1" applyAlignment="1">
      <alignment horizontal="left" wrapText="1"/>
    </xf>
    <xf numFmtId="0" fontId="36" fillId="24" borderId="92" xfId="39" applyFont="1" applyFill="1" applyBorder="1" applyAlignment="1">
      <alignment horizontal="left" wrapText="1"/>
    </xf>
    <xf numFmtId="0" fontId="36" fillId="24" borderId="47" xfId="39" applyFont="1" applyFill="1" applyBorder="1" applyAlignment="1">
      <alignment horizontal="left" wrapText="1"/>
    </xf>
    <xf numFmtId="49" fontId="38" fillId="24" borderId="47" xfId="39" applyNumberFormat="1" applyFont="1" applyFill="1" applyBorder="1" applyAlignment="1">
      <alignment horizontal="left" wrapText="1"/>
    </xf>
    <xf numFmtId="0" fontId="34" fillId="0" borderId="47" xfId="0" applyFont="1" applyBorder="1" applyAlignment="1">
      <alignment vertical="center"/>
    </xf>
    <xf numFmtId="0" fontId="36" fillId="24" borderId="39" xfId="39" applyFont="1" applyFill="1" applyBorder="1" applyAlignment="1">
      <alignment horizontal="left" wrapText="1"/>
    </xf>
    <xf numFmtId="0" fontId="36" fillId="24" borderId="40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5" fillId="0" borderId="38" xfId="42" applyFont="1" applyBorder="1" applyAlignment="1">
      <alignment horizontal="left" vertical="top"/>
    </xf>
    <xf numFmtId="0" fontId="35" fillId="0" borderId="52" xfId="42" applyFont="1" applyFill="1" applyBorder="1" applyAlignment="1">
      <alignment horizontal="left"/>
    </xf>
    <xf numFmtId="0" fontId="38" fillId="24" borderId="82" xfId="40" applyFont="1" applyFill="1" applyBorder="1" applyAlignment="1">
      <alignment horizontal="left" wrapText="1"/>
    </xf>
    <xf numFmtId="0" fontId="38" fillId="24" borderId="44" xfId="40" applyFont="1" applyFill="1" applyBorder="1" applyAlignment="1">
      <alignment horizontal="left" wrapText="1"/>
    </xf>
    <xf numFmtId="0" fontId="38" fillId="24" borderId="83" xfId="40" applyFont="1" applyFill="1" applyBorder="1" applyAlignment="1">
      <alignment horizontal="left" wrapText="1"/>
    </xf>
    <xf numFmtId="0" fontId="35" fillId="0" borderId="0" xfId="42" applyFont="1" applyBorder="1" applyAlignment="1">
      <alignment horizontal="right"/>
    </xf>
    <xf numFmtId="0" fontId="36" fillId="24" borderId="81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/>
    </xf>
    <xf numFmtId="0" fontId="36" fillId="24" borderId="81" xfId="40" applyFont="1" applyFill="1" applyBorder="1" applyAlignment="1">
      <alignment horizontal="left" wrapText="1"/>
    </xf>
    <xf numFmtId="0" fontId="36" fillId="24" borderId="11" xfId="40" applyFont="1" applyFill="1" applyBorder="1" applyAlignment="1">
      <alignment horizontal="left" wrapText="1"/>
    </xf>
    <xf numFmtId="0" fontId="38" fillId="24" borderId="84" xfId="40" applyFont="1" applyFill="1" applyBorder="1" applyAlignment="1">
      <alignment horizontal="left" wrapText="1"/>
    </xf>
    <xf numFmtId="0" fontId="38" fillId="24" borderId="85" xfId="40" applyFont="1" applyFill="1" applyBorder="1" applyAlignment="1">
      <alignment horizontal="left" wrapText="1"/>
    </xf>
    <xf numFmtId="0" fontId="36" fillId="24" borderId="48" xfId="42" applyFont="1" applyFill="1" applyBorder="1" applyAlignment="1">
      <alignment horizontal="center" vertical="center" wrapText="1"/>
    </xf>
    <xf numFmtId="0" fontId="35" fillId="24" borderId="46" xfId="42" applyFont="1" applyFill="1" applyBorder="1" applyAlignment="1">
      <alignment horizontal="center" vertical="center"/>
    </xf>
    <xf numFmtId="0" fontId="35" fillId="24" borderId="77" xfId="42" applyFont="1" applyFill="1" applyBorder="1" applyAlignment="1">
      <alignment horizontal="center" vertical="center"/>
    </xf>
    <xf numFmtId="0" fontId="35" fillId="24" borderId="86" xfId="42" applyFont="1" applyFill="1" applyBorder="1" applyAlignment="1">
      <alignment horizontal="center" vertical="center"/>
    </xf>
    <xf numFmtId="0" fontId="35" fillId="24" borderId="76" xfId="42" applyFont="1" applyFill="1" applyBorder="1" applyAlignment="1">
      <alignment horizontal="center" vertical="center"/>
    </xf>
    <xf numFmtId="0" fontId="35" fillId="24" borderId="78" xfId="42" applyFont="1" applyFill="1" applyBorder="1" applyAlignment="1">
      <alignment horizontal="center" vertical="center"/>
    </xf>
    <xf numFmtId="0" fontId="35" fillId="0" borderId="33" xfId="42" applyFont="1" applyBorder="1" applyAlignment="1">
      <alignment horizontal="left"/>
    </xf>
    <xf numFmtId="0" fontId="35" fillId="24" borderId="79" xfId="42" applyFont="1" applyFill="1" applyBorder="1" applyAlignment="1">
      <alignment horizontal="center" vertical="center"/>
    </xf>
    <xf numFmtId="0" fontId="35" fillId="24" borderId="80" xfId="42" applyFont="1" applyFill="1" applyBorder="1" applyAlignment="1">
      <alignment horizontal="center" vertical="center"/>
    </xf>
    <xf numFmtId="0" fontId="36" fillId="24" borderId="10" xfId="42" applyFont="1" applyFill="1" applyBorder="1" applyAlignment="1">
      <alignment horizontal="center" vertical="center" wrapText="1"/>
    </xf>
    <xf numFmtId="0" fontId="36" fillId="24" borderId="11" xfId="42" applyFont="1" applyFill="1" applyBorder="1" applyAlignment="1">
      <alignment horizontal="center" vertical="center" wrapText="1"/>
    </xf>
    <xf numFmtId="0" fontId="36" fillId="24" borderId="29" xfId="40" applyFont="1" applyFill="1" applyBorder="1" applyAlignment="1">
      <alignment horizontal="left" wrapText="1"/>
    </xf>
    <xf numFmtId="0" fontId="36" fillId="24" borderId="30" xfId="40" applyFont="1" applyFill="1" applyBorder="1" applyAlignment="1">
      <alignment horizontal="left" wrapText="1"/>
    </xf>
    <xf numFmtId="0" fontId="36" fillId="24" borderId="31" xfId="40" applyFont="1" applyFill="1" applyBorder="1" applyAlignment="1">
      <alignment horizontal="left" wrapText="1"/>
    </xf>
    <xf numFmtId="49" fontId="38" fillId="24" borderId="95" xfId="39" applyNumberFormat="1" applyFont="1" applyFill="1" applyBorder="1" applyAlignment="1">
      <alignment horizontal="left" wrapText="1"/>
    </xf>
    <xf numFmtId="49" fontId="38" fillId="24" borderId="96" xfId="39" applyNumberFormat="1" applyFont="1" applyFill="1" applyBorder="1" applyAlignment="1">
      <alignment horizontal="left" wrapText="1"/>
    </xf>
    <xf numFmtId="49" fontId="38" fillId="24" borderId="97" xfId="39" applyNumberFormat="1" applyFont="1" applyFill="1" applyBorder="1" applyAlignment="1">
      <alignment horizontal="left" wrapText="1"/>
    </xf>
    <xf numFmtId="0" fontId="36" fillId="24" borderId="91" xfId="42" applyFont="1" applyFill="1" applyBorder="1" applyAlignment="1">
      <alignment horizontal="center" vertical="center" wrapText="1"/>
    </xf>
    <xf numFmtId="0" fontId="36" fillId="24" borderId="87" xfId="42" applyFont="1" applyFill="1" applyBorder="1" applyAlignment="1">
      <alignment horizontal="center" vertical="center" wrapText="1"/>
    </xf>
    <xf numFmtId="0" fontId="36" fillId="24" borderId="88" xfId="42" applyFont="1" applyFill="1" applyBorder="1" applyAlignment="1">
      <alignment horizontal="center" vertical="center" wrapText="1"/>
    </xf>
    <xf numFmtId="0" fontId="35" fillId="24" borderId="87" xfId="40" applyFont="1" applyFill="1" applyBorder="1" applyAlignment="1">
      <alignment horizontal="center" wrapText="1"/>
    </xf>
    <xf numFmtId="0" fontId="35" fillId="24" borderId="48" xfId="40" applyFont="1" applyFill="1" applyBorder="1" applyAlignment="1">
      <alignment horizontal="center" wrapText="1"/>
    </xf>
    <xf numFmtId="0" fontId="35" fillId="24" borderId="90" xfId="40" applyFont="1" applyFill="1" applyBorder="1" applyAlignment="1">
      <alignment horizontal="center" wrapText="1"/>
    </xf>
    <xf numFmtId="0" fontId="38" fillId="24" borderId="10" xfId="40" applyFont="1" applyFill="1" applyBorder="1" applyAlignment="1">
      <alignment horizontal="center" wrapText="1"/>
    </xf>
    <xf numFmtId="0" fontId="38" fillId="24" borderId="48" xfId="40" applyFont="1" applyFill="1" applyBorder="1" applyAlignment="1">
      <alignment horizontal="center" wrapText="1"/>
    </xf>
    <xf numFmtId="0" fontId="35" fillId="24" borderId="71" xfId="39" applyNumberFormat="1" applyFont="1" applyFill="1" applyBorder="1" applyAlignment="1">
      <alignment horizontal="center" wrapText="1"/>
    </xf>
    <xf numFmtId="0" fontId="35" fillId="24" borderId="89" xfId="39" applyNumberFormat="1" applyFont="1" applyFill="1" applyBorder="1" applyAlignment="1">
      <alignment horizontal="center" wrapText="1"/>
    </xf>
    <xf numFmtId="0" fontId="35" fillId="0" borderId="100" xfId="41" applyFont="1" applyBorder="1" applyAlignment="1">
      <alignment horizontal="right"/>
    </xf>
    <xf numFmtId="0" fontId="35" fillId="0" borderId="98" xfId="41" applyFont="1" applyFill="1" applyBorder="1" applyAlignment="1">
      <alignment horizontal="left"/>
    </xf>
    <xf numFmtId="0" fontId="35" fillId="0" borderId="65" xfId="41" applyFont="1" applyFill="1" applyBorder="1" applyAlignment="1">
      <alignment horizontal="left"/>
    </xf>
    <xf numFmtId="0" fontId="35" fillId="0" borderId="99" xfId="41" applyFont="1" applyFill="1" applyBorder="1" applyAlignment="1">
      <alignment horizontal="left"/>
    </xf>
    <xf numFmtId="0" fontId="35" fillId="0" borderId="29" xfId="41" applyFont="1" applyBorder="1" applyAlignment="1">
      <alignment horizontal="left"/>
    </xf>
    <xf numFmtId="0" fontId="35" fillId="0" borderId="30" xfId="41" applyFont="1" applyBorder="1" applyAlignment="1">
      <alignment horizontal="left"/>
    </xf>
    <xf numFmtId="0" fontId="35" fillId="0" borderId="31" xfId="41" applyFont="1" applyBorder="1" applyAlignment="1">
      <alignment horizontal="left"/>
    </xf>
    <xf numFmtId="0" fontId="35" fillId="27" borderId="31" xfId="41" applyFont="1" applyFill="1" applyBorder="1" applyAlignment="1">
      <alignment horizontal="center" vertical="top" wrapText="1"/>
    </xf>
    <xf numFmtId="0" fontId="35" fillId="27" borderId="30" xfId="41" applyFont="1" applyFill="1" applyBorder="1" applyAlignment="1">
      <alignment horizontal="center" vertical="top" wrapText="1"/>
    </xf>
    <xf numFmtId="0" fontId="35" fillId="27" borderId="31" xfId="41" applyFont="1" applyFill="1" applyBorder="1" applyAlignment="1">
      <alignment horizontal="right" vertical="top" wrapText="1"/>
    </xf>
    <xf numFmtId="0" fontId="35" fillId="27" borderId="30" xfId="41" applyFont="1" applyFill="1" applyBorder="1" applyAlignment="1">
      <alignment horizontal="right" vertical="top" wrapText="1"/>
    </xf>
    <xf numFmtId="0" fontId="35" fillId="27" borderId="31" xfId="41" applyFont="1" applyFill="1" applyBorder="1" applyAlignment="1">
      <alignment horizontal="right" vertical="top"/>
    </xf>
    <xf numFmtId="0" fontId="35" fillId="27" borderId="30" xfId="41" applyFont="1" applyFill="1" applyBorder="1" applyAlignment="1">
      <alignment horizontal="right" vertical="top"/>
    </xf>
    <xf numFmtId="0" fontId="62" fillId="27" borderId="30" xfId="41" applyFont="1" applyFill="1" applyBorder="1" applyAlignment="1">
      <alignment horizontal="right" vertical="top"/>
    </xf>
    <xf numFmtId="0" fontId="62" fillId="27" borderId="31" xfId="41" applyFont="1" applyFill="1" applyBorder="1" applyAlignment="1">
      <alignment horizontal="right" vertical="top"/>
    </xf>
    <xf numFmtId="0" fontId="13" fillId="27" borderId="31" xfId="34" applyFill="1" applyBorder="1" applyAlignment="1">
      <alignment horizontal="right" vertical="top"/>
    </xf>
    <xf numFmtId="0" fontId="35" fillId="0" borderId="0" xfId="41" applyFont="1" applyBorder="1" applyAlignment="1"/>
    <xf numFmtId="0" fontId="35" fillId="0" borderId="0" xfId="41" applyFont="1" applyAlignment="1">
      <alignment horizontal="center"/>
    </xf>
    <xf numFmtId="0" fontId="35" fillId="0" borderId="30" xfId="41" applyFont="1" applyBorder="1" applyAlignment="1">
      <alignment horizontal="center"/>
    </xf>
    <xf numFmtId="0" fontId="35" fillId="0" borderId="0" xfId="41" applyFont="1" applyAlignment="1">
      <alignment horizontal="right"/>
    </xf>
    <xf numFmtId="0" fontId="35" fillId="0" borderId="101" xfId="41" applyFont="1" applyBorder="1" applyAlignment="1">
      <alignment horizontal="center"/>
    </xf>
    <xf numFmtId="0" fontId="35" fillId="0" borderId="100" xfId="41" applyFont="1" applyBorder="1" applyAlignment="1">
      <alignment horizontal="center"/>
    </xf>
    <xf numFmtId="0" fontId="35" fillId="27" borderId="29" xfId="41" applyFont="1" applyFill="1" applyBorder="1" applyAlignment="1">
      <alignment horizontal="center" vertical="top" wrapText="1"/>
    </xf>
    <xf numFmtId="0" fontId="35" fillId="27" borderId="29" xfId="41" applyFont="1" applyFill="1" applyBorder="1" applyAlignment="1">
      <alignment horizontal="right" vertical="top" wrapText="1"/>
    </xf>
    <xf numFmtId="0" fontId="13" fillId="27" borderId="50" xfId="34" applyFill="1" applyBorder="1" applyAlignment="1">
      <alignment horizontal="right" vertical="top" wrapText="1"/>
    </xf>
    <xf numFmtId="0" fontId="13" fillId="27" borderId="29" xfId="34" applyFill="1" applyBorder="1" applyAlignment="1">
      <alignment horizontal="right" vertical="top"/>
    </xf>
    <xf numFmtId="0" fontId="13" fillId="27" borderId="30" xfId="34" applyFill="1" applyBorder="1" applyAlignment="1">
      <alignment horizontal="right" vertical="top"/>
    </xf>
    <xf numFmtId="0" fontId="13" fillId="27" borderId="31" xfId="34" applyFill="1" applyBorder="1" applyAlignment="1">
      <alignment horizontal="right" vertical="top"/>
    </xf>
    <xf numFmtId="49" fontId="31" fillId="24" borderId="15" xfId="34" applyNumberFormat="1" applyFont="1" applyFill="1" applyBorder="1" applyAlignment="1">
      <alignment horizontal="left" vertical="center"/>
    </xf>
    <xf numFmtId="49" fontId="31" fillId="24" borderId="15" xfId="34" applyNumberFormat="1" applyFont="1" applyFill="1" applyBorder="1" applyAlignment="1"/>
    <xf numFmtId="0" fontId="64" fillId="31" borderId="102" xfId="0" applyFont="1" applyFill="1" applyBorder="1">
      <alignment vertical="center"/>
    </xf>
    <xf numFmtId="0" fontId="36" fillId="0" borderId="0" xfId="41" applyFont="1"/>
    <xf numFmtId="0" fontId="35" fillId="28" borderId="0" xfId="41" applyFont="1" applyFill="1" applyAlignment="1">
      <alignment horizontal="right"/>
    </xf>
    <xf numFmtId="0" fontId="36" fillId="27" borderId="39" xfId="41" applyFont="1" applyFill="1" applyBorder="1"/>
    <xf numFmtId="0" fontId="36" fillId="27" borderId="40" xfId="41" applyFont="1" applyFill="1" applyBorder="1"/>
    <xf numFmtId="0" fontId="36" fillId="27" borderId="29" xfId="41" applyFont="1" applyFill="1" applyBorder="1"/>
    <xf numFmtId="0" fontId="35" fillId="27" borderId="30" xfId="41" applyFont="1" applyFill="1" applyBorder="1"/>
    <xf numFmtId="0" fontId="51" fillId="27" borderId="30" xfId="41" applyFont="1" applyFill="1" applyBorder="1"/>
    <xf numFmtId="0" fontId="35" fillId="0" borderId="52" xfId="41" applyFont="1" applyBorder="1" applyAlignment="1">
      <alignment horizontal="left"/>
    </xf>
    <xf numFmtId="0" fontId="35" fillId="0" borderId="52" xfId="41" applyFont="1" applyBorder="1" applyAlignment="1">
      <alignment horizontal="left"/>
    </xf>
    <xf numFmtId="0" fontId="35" fillId="27" borderId="103" xfId="41" applyFont="1" applyFill="1" applyBorder="1" applyAlignment="1">
      <alignment horizontal="right"/>
    </xf>
    <xf numFmtId="0" fontId="35" fillId="28" borderId="29" xfId="41" applyFont="1" applyFill="1" applyBorder="1"/>
    <xf numFmtId="0" fontId="39" fillId="0" borderId="31" xfId="41" applyFont="1" applyBorder="1" applyAlignment="1">
      <alignment horizontal="center"/>
    </xf>
    <xf numFmtId="0" fontId="24" fillId="24" borderId="15" xfId="41" applyFont="1" applyFill="1" applyBorder="1" applyAlignment="1">
      <alignment horizontal="center"/>
    </xf>
    <xf numFmtId="0" fontId="2" fillId="27" borderId="32" xfId="41" applyFill="1" applyBorder="1" applyAlignment="1"/>
    <xf numFmtId="0" fontId="35" fillId="32" borderId="31" xfId="0" applyFont="1" applyFill="1" applyBorder="1" applyAlignment="1">
      <alignment horizontal="right" vertical="center" wrapText="1"/>
    </xf>
    <xf numFmtId="0" fontId="61" fillId="0" borderId="30" xfId="0" applyFont="1" applyBorder="1" applyAlignment="1">
      <alignment horizontal="right" vertical="center"/>
    </xf>
    <xf numFmtId="0" fontId="35" fillId="0" borderId="34" xfId="41" applyFont="1" applyBorder="1" applyAlignment="1">
      <alignment horizontal="left" vertical="top"/>
    </xf>
    <xf numFmtId="0" fontId="35" fillId="0" borderId="35" xfId="41" applyFont="1" applyBorder="1" applyAlignment="1">
      <alignment horizontal="left" vertical="top"/>
    </xf>
    <xf numFmtId="0" fontId="35" fillId="0" borderId="36" xfId="41" applyFont="1" applyBorder="1" applyAlignment="1">
      <alignment horizontal="left" vertical="top"/>
    </xf>
    <xf numFmtId="0" fontId="35" fillId="0" borderId="29" xfId="41" applyFont="1" applyBorder="1" applyAlignment="1">
      <alignment horizontal="left" vertical="top"/>
    </xf>
    <xf numFmtId="0" fontId="35" fillId="0" borderId="30" xfId="41" applyFont="1" applyBorder="1" applyAlignment="1">
      <alignment horizontal="left" vertical="top"/>
    </xf>
    <xf numFmtId="0" fontId="35" fillId="0" borderId="31" xfId="41" applyFont="1" applyBorder="1" applyAlignment="1">
      <alignment horizontal="left" vertical="top"/>
    </xf>
    <xf numFmtId="0" fontId="38" fillId="24" borderId="87" xfId="39" applyFont="1" applyFill="1" applyBorder="1" applyAlignment="1">
      <alignment horizontal="left" wrapText="1"/>
    </xf>
    <xf numFmtId="0" fontId="38" fillId="24" borderId="48" xfId="39" applyFont="1" applyFill="1" applyBorder="1" applyAlignment="1">
      <alignment horizontal="left" wrapText="1"/>
    </xf>
    <xf numFmtId="0" fontId="35" fillId="27" borderId="31" xfId="41" applyFont="1" applyFill="1" applyBorder="1" applyAlignment="1">
      <alignment horizontal="center" vertical="top"/>
    </xf>
    <xf numFmtId="0" fontId="35" fillId="27" borderId="29" xfId="41" applyFont="1" applyFill="1" applyBorder="1" applyAlignment="1">
      <alignment horizontal="center" vertical="top"/>
    </xf>
    <xf numFmtId="0" fontId="35" fillId="27" borderId="30" xfId="41" applyFont="1" applyFill="1" applyBorder="1" applyAlignment="1">
      <alignment horizontal="center" vertical="top"/>
    </xf>
    <xf numFmtId="0" fontId="35" fillId="0" borderId="29" xfId="41" applyFont="1" applyBorder="1" applyAlignment="1">
      <alignment horizontal="center"/>
    </xf>
    <xf numFmtId="0" fontId="13" fillId="0" borderId="29" xfId="34" applyBorder="1" applyAlignment="1">
      <alignment horizontal="center"/>
    </xf>
    <xf numFmtId="0" fontId="13" fillId="0" borderId="30" xfId="34" applyBorder="1" applyAlignment="1">
      <alignment horizontal="center"/>
    </xf>
    <xf numFmtId="0" fontId="52" fillId="0" borderId="33" xfId="41" applyFont="1" applyBorder="1" applyAlignment="1">
      <alignment horizontal="center" wrapText="1"/>
    </xf>
    <xf numFmtId="0" fontId="35" fillId="0" borderId="34" xfId="42" applyFont="1" applyBorder="1" applyAlignment="1">
      <alignment textRotation="255"/>
    </xf>
    <xf numFmtId="165" fontId="35" fillId="0" borderId="51" xfId="41" applyNumberFormat="1" applyFont="1" applyBorder="1" applyAlignment="1">
      <alignment vertical="top" textRotation="255"/>
    </xf>
    <xf numFmtId="0" fontId="35" fillId="0" borderId="104" xfId="41" applyFont="1" applyBorder="1"/>
    <xf numFmtId="0" fontId="36" fillId="27" borderId="49" xfId="42" applyFont="1" applyFill="1" applyBorder="1" applyAlignment="1">
      <alignment horizontal="left" vertical="top"/>
    </xf>
    <xf numFmtId="0" fontId="35" fillId="27" borderId="32" xfId="42" applyFont="1" applyFill="1" applyBorder="1" applyAlignment="1">
      <alignment horizontal="center" vertical="top"/>
    </xf>
    <xf numFmtId="0" fontId="35" fillId="27" borderId="50" xfId="42" applyFont="1" applyFill="1" applyBorder="1" applyAlignment="1">
      <alignment horizontal="right" vertical="top"/>
    </xf>
    <xf numFmtId="0" fontId="35" fillId="27" borderId="31" xfId="41" applyFont="1" applyFill="1" applyBorder="1" applyAlignment="1">
      <alignment horizontal="center" wrapText="1"/>
    </xf>
    <xf numFmtId="0" fontId="35" fillId="27" borderId="29" xfId="41" applyFont="1" applyFill="1" applyBorder="1" applyAlignment="1">
      <alignment horizontal="center" wrapText="1"/>
    </xf>
    <xf numFmtId="0" fontId="35" fillId="27" borderId="30" xfId="41" applyFont="1" applyFill="1" applyBorder="1" applyAlignment="1">
      <alignment horizontal="center" wrapText="1"/>
    </xf>
    <xf numFmtId="0" fontId="35" fillId="27" borderId="31" xfId="41" applyFont="1" applyFill="1" applyBorder="1" applyAlignment="1">
      <alignment horizontal="right" wrapText="1"/>
    </xf>
    <xf numFmtId="0" fontId="35" fillId="27" borderId="29" xfId="41" applyFont="1" applyFill="1" applyBorder="1" applyAlignment="1">
      <alignment horizontal="right" wrapText="1"/>
    </xf>
    <xf numFmtId="0" fontId="35" fillId="27" borderId="30" xfId="41" applyFont="1" applyFill="1" applyBorder="1" applyAlignment="1">
      <alignment horizontal="right" wrapText="1"/>
    </xf>
    <xf numFmtId="0" fontId="35" fillId="27" borderId="34" xfId="41" applyFont="1" applyFill="1" applyBorder="1" applyAlignment="1">
      <alignment horizontal="right"/>
    </xf>
    <xf numFmtId="0" fontId="35" fillId="27" borderId="35" xfId="41" applyFont="1" applyFill="1" applyBorder="1" applyAlignment="1">
      <alignment horizontal="right"/>
    </xf>
    <xf numFmtId="0" fontId="35" fillId="27" borderId="36" xfId="41" applyFont="1" applyFill="1" applyBorder="1" applyAlignment="1">
      <alignment horizontal="right"/>
    </xf>
    <xf numFmtId="0" fontId="1" fillId="27" borderId="32" xfId="42" applyFill="1" applyBorder="1" applyAlignment="1"/>
    <xf numFmtId="0" fontId="35" fillId="28" borderId="51" xfId="42" applyFont="1" applyFill="1" applyBorder="1"/>
    <xf numFmtId="0" fontId="35" fillId="0" borderId="29" xfId="41" applyFont="1" applyBorder="1" applyAlignment="1">
      <alignment horizontal="right"/>
    </xf>
    <xf numFmtId="0" fontId="35" fillId="0" borderId="30" xfId="41" applyFont="1" applyBorder="1" applyAlignment="1">
      <alignment horizontal="right"/>
    </xf>
    <xf numFmtId="0" fontId="35" fillId="0" borderId="31" xfId="41" applyFont="1" applyBorder="1" applyAlignment="1">
      <alignment horizontal="right"/>
    </xf>
    <xf numFmtId="0" fontId="63" fillId="0" borderId="0" xfId="0" applyFont="1">
      <alignment vertical="center"/>
    </xf>
    <xf numFmtId="16" fontId="63" fillId="0" borderId="0" xfId="0" applyNumberFormat="1" applyFont="1">
      <alignment vertical="center"/>
    </xf>
    <xf numFmtId="16" fontId="63" fillId="0" borderId="0" xfId="0" applyNumberFormat="1" applyFont="1" applyAlignment="1">
      <alignment vertical="center" wrapText="1"/>
    </xf>
    <xf numFmtId="0" fontId="63" fillId="0" borderId="103" xfId="0" applyFont="1" applyBorder="1">
      <alignment vertical="center"/>
    </xf>
    <xf numFmtId="0" fontId="63" fillId="0" borderId="103" xfId="0" applyFont="1" applyBorder="1" applyAlignment="1">
      <alignment vertical="center" wrapText="1"/>
    </xf>
    <xf numFmtId="16" fontId="63" fillId="0" borderId="103" xfId="0" applyNumberFormat="1" applyFont="1" applyBorder="1" applyAlignment="1">
      <alignment horizontal="center" vertical="center"/>
    </xf>
    <xf numFmtId="0" fontId="37" fillId="0" borderId="29" xfId="41" applyFont="1" applyBorder="1" applyAlignment="1">
      <alignment horizontal="left"/>
    </xf>
    <xf numFmtId="0" fontId="35" fillId="0" borderId="29" xfId="41" applyFont="1" applyBorder="1"/>
    <xf numFmtId="0" fontId="35" fillId="0" borderId="31" xfId="41" applyFont="1" applyBorder="1" applyAlignment="1">
      <alignment horizontal="center"/>
    </xf>
    <xf numFmtId="165" fontId="35" fillId="0" borderId="31" xfId="41" applyNumberFormat="1" applyFont="1" applyBorder="1" applyAlignment="1">
      <alignment vertical="top" textRotation="255"/>
    </xf>
    <xf numFmtId="0" fontId="35" fillId="0" borderId="106" xfId="41" applyFont="1" applyBorder="1" applyAlignment="1">
      <alignment horizontal="center"/>
    </xf>
    <xf numFmtId="0" fontId="35" fillId="0" borderId="34" xfId="41" applyFont="1" applyBorder="1"/>
    <xf numFmtId="0" fontId="35" fillId="0" borderId="105" xfId="41" applyFont="1" applyBorder="1" applyAlignment="1">
      <alignment textRotation="255"/>
    </xf>
    <xf numFmtId="16" fontId="63" fillId="0" borderId="107" xfId="0" applyNumberFormat="1" applyFont="1" applyBorder="1" applyAlignment="1">
      <alignment horizontal="center" vertical="center"/>
    </xf>
    <xf numFmtId="16" fontId="63" fillId="0" borderId="107" xfId="0" applyNumberFormat="1" applyFont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ình thường" xfId="0" builtinId="0"/>
    <cellStyle name="Đầu đề 1" xfId="30" builtinId="16" customBuiltin="1"/>
    <cellStyle name="Đầu đề 2" xfId="31" builtinId="17" customBuiltin="1"/>
    <cellStyle name="Đầu đề 3" xfId="32" builtinId="18" customBuiltin="1"/>
    <cellStyle name="Đầu đề 4" xfId="33" builtinId="19" customBuiltin="1"/>
    <cellStyle name="Đầu ra" xfId="44" builtinId="21" customBuiltin="1"/>
    <cellStyle name="Đầu vào" xfId="35" builtinId="20" customBuiltin="1"/>
    <cellStyle name="Ghi chú" xfId="43" builtinId="10" customBuiltin="1"/>
    <cellStyle name="Hyperlink" xfId="34" xr:uid="{00000000-000B-0000-0000-000008000000}"/>
    <cellStyle name="Kiểm tra Ô" xfId="27" builtinId="23" customBuiltin="1"/>
    <cellStyle name="Normal_Functional Test Case v1.0" xfId="38" xr:uid="{EAC07B96-42F0-49B0-9B95-9EFEC32F1DC4}"/>
    <cellStyle name="Normal_Sheet1" xfId="39" xr:uid="{D3B80E26-6D87-49F7-B66A-1FD687ECF895}"/>
    <cellStyle name="Normal_Sheet1_Template_UnitTest Case_v0.9" xfId="40" xr:uid="{31F498AE-E3B5-4F94-9E45-F3FA1E366DE8}"/>
    <cellStyle name="Normal_Template_UnitTest Case_v0.9" xfId="41" xr:uid="{706E0FD3-28EE-48AA-AFCD-27CA5F0DD418}"/>
    <cellStyle name="Normal_Template_UnitTest Case_v0.9_Template_UnitTest Case_v0.9" xfId="42" xr:uid="{4EDF9391-D5F3-4498-B558-CFF1AEF9DD52}"/>
    <cellStyle name="Ô được Nối kết" xfId="36" builtinId="24" customBuiltin="1"/>
    <cellStyle name="Tiêu đề" xfId="45" builtinId="15" customBuiltin="1"/>
    <cellStyle name="Tính toán" xfId="26" builtinId="22" customBuiltin="1"/>
    <cellStyle name="Tổng" xfId="46" builtinId="25" customBuiltin="1"/>
    <cellStyle name="Tốt" xfId="29" builtinId="26" customBuiltin="1"/>
    <cellStyle name="Trung lập" xfId="37" builtinId="28" customBuiltin="1"/>
    <cellStyle name="Văn bản Cảnh báo" xfId="47" builtinId="11" customBuiltin="1"/>
    <cellStyle name="Văn bản Giải thích" xfId="28" builtinId="53" customBuiltin="1"/>
    <cellStyle name="Xấu" xfId="25" builtinId="27" customBuiltin="1"/>
    <cellStyle name="標準_結合試験(AllOvertheWorld)" xfId="48" xr:uid="{22B9129D-AE22-4D92-9F6F-6DD9A394C3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32935254561"/>
          <c:y val="3.90624776161066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5D2-4920-94E2-AE3F59462B3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D2-4920-94E2-AE3F59462B3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5D2-4920-94E2-AE3F59462B30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Statistics!$F$24:$H$24</c:f>
              <c:numCache>
                <c:formatCode>General</c:formatCode>
                <c:ptCount val="3"/>
                <c:pt idx="0">
                  <c:v>80</c:v>
                </c:pt>
                <c:pt idx="1">
                  <c:v>49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D2-4920-94E2-AE3F59462B30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F5D2-4920-94E2-AE3F59462B3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F5D2-4920-94E2-AE3F59462B3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5D2-4920-94E2-AE3F59462B3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Statistics!$F$23:$H$23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D2-4920-94E2-AE3F59462B30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5D2-4920-94E2-AE3F59462B3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F5D2-4920-94E2-AE3F59462B3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F5D2-4920-94E2-AE3F59462B3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5D2-4920-94E2-AE3F59462B30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F5D2-4920-94E2-AE3F59462B3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F5D2-4920-94E2-AE3F59462B3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F5D2-4920-94E2-AE3F59462B3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5D2-4920-94E2-AE3F59462B30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Statistics!$F$24:$H$24</c:f>
              <c:numCache>
                <c:formatCode>General</c:formatCode>
                <c:ptCount val="3"/>
                <c:pt idx="0">
                  <c:v>80</c:v>
                </c:pt>
                <c:pt idx="1">
                  <c:v>49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5D2-4920-94E2-AE3F59462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11944701145105"/>
          <c:y val="0.3852265111124798"/>
          <c:w val="9.6494224502842507E-2"/>
          <c:h val="0.315185327273847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3695193905"/>
          <c:y val="3.95257837320685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191-4067-B4AE-85A644BD5AF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91-4067-B4AE-85A644BD5AF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191-4067-B4AE-85A644BD5AF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Statistics!$C$24:$E$24</c:f>
              <c:numCache>
                <c:formatCode>General</c:formatCode>
                <c:ptCount val="3"/>
                <c:pt idx="0">
                  <c:v>115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1-4067-B4AE-85A644BD5AF3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191-4067-B4AE-85A644BD5AF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191-4067-B4AE-85A644BD5AF3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191-4067-B4AE-85A644BD5AF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Statistics!$C$23:$E$23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91-4067-B4AE-85A644BD5AF3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191-4067-B4AE-85A644BD5AF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D191-4067-B4AE-85A644BD5AF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D191-4067-B4AE-85A644BD5AF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91-4067-B4AE-85A644BD5AF3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191-4067-B4AE-85A644BD5AF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D191-4067-B4AE-85A644BD5AF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191-4067-B4AE-85A644BD5AF3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191-4067-B4AE-85A644BD5AF3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Statistics!$C$24:$E$24</c:f>
              <c:numCache>
                <c:formatCode>General</c:formatCode>
                <c:ptCount val="3"/>
                <c:pt idx="0">
                  <c:v>115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191-4067-B4AE-85A644BD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984524680367072"/>
          <c:y val="0.42064789363278726"/>
          <c:w val="0.21739815939638543"/>
          <c:h val="0.301596602981998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0</xdr:col>
      <xdr:colOff>1866900</xdr:colOff>
      <xdr:row>1</xdr:row>
      <xdr:rowOff>781050</xdr:rowOff>
    </xdr:to>
    <xdr:pic>
      <xdr:nvPicPr>
        <xdr:cNvPr id="1063" name="Picture 1">
          <a:extLst>
            <a:ext uri="{FF2B5EF4-FFF2-40B4-BE49-F238E27FC236}">
              <a16:creationId xmlns:a16="http://schemas.microsoft.com/office/drawing/2014/main" id="{54E3A6BA-3F0A-B851-5C7A-B71F5BE6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18669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31</xdr:row>
      <xdr:rowOff>0</xdr:rowOff>
    </xdr:from>
    <xdr:to>
      <xdr:col>9</xdr:col>
      <xdr:colOff>0</xdr:colOff>
      <xdr:row>46</xdr:row>
      <xdr:rowOff>19050</xdr:rowOff>
    </xdr:to>
    <xdr:graphicFrame macro="">
      <xdr:nvGraphicFramePr>
        <xdr:cNvPr id="2123" name="Chart 16">
          <a:extLst>
            <a:ext uri="{FF2B5EF4-FFF2-40B4-BE49-F238E27FC236}">
              <a16:creationId xmlns:a16="http://schemas.microsoft.com/office/drawing/2014/main" id="{BA684DCA-6ADA-DA55-76E5-DEDE8BD35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31</xdr:row>
      <xdr:rowOff>28575</xdr:rowOff>
    </xdr:from>
    <xdr:to>
      <xdr:col>3</xdr:col>
      <xdr:colOff>209550</xdr:colOff>
      <xdr:row>46</xdr:row>
      <xdr:rowOff>0</xdr:rowOff>
    </xdr:to>
    <xdr:graphicFrame macro="">
      <xdr:nvGraphicFramePr>
        <xdr:cNvPr id="2124" name="Chart 17">
          <a:extLst>
            <a:ext uri="{FF2B5EF4-FFF2-40B4-BE49-F238E27FC236}">
              <a16:creationId xmlns:a16="http://schemas.microsoft.com/office/drawing/2014/main" id="{749D1C59-DB35-A2A0-9253-D833EA0888CF}"/>
            </a:ext>
            <a:ext uri="{147F2762-F138-4A5C-976F-8EAC2B608ADB}">
              <a16:predDERef xmlns:a16="http://schemas.microsoft.com/office/drawing/2014/main" pred="{BA684DCA-6ADA-DA55-76E5-DEDE8BD35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unction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unction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imgur.com/aBc123.png" TargetMode="External"/><Relationship Id="rId1" Type="http://schemas.openxmlformats.org/officeDocument/2006/relationships/hyperlink" Target="mailto:ww@w.w" TargetMode="Externa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mailto:ww@w.w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mailto:abc@domain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hyperlink" Target="https://123.com/123.123" TargetMode="External"/><Relationship Id="rId1" Type="http://schemas.openxmlformats.org/officeDocument/2006/relationships/hyperlink" Target="https://imgur.com/aBc123.png" TargetMode="External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9A23-1D13-4773-8FC3-CDFB87BEBD91}">
  <dimension ref="A1:D49"/>
  <sheetViews>
    <sheetView topLeftCell="A2" zoomScale="85" zoomScaleNormal="85" workbookViewId="0"/>
  </sheetViews>
  <sheetFormatPr defaultColWidth="9" defaultRowHeight="14.25"/>
  <cols>
    <col min="1" max="1" width="119.28515625" style="157" customWidth="1"/>
    <col min="2" max="16384" width="9" style="157"/>
  </cols>
  <sheetData>
    <row r="1" spans="1:1" s="154" customFormat="1" ht="22.5">
      <c r="A1" s="153" t="s">
        <v>0</v>
      </c>
    </row>
    <row r="2" spans="1:1" s="154" customFormat="1" ht="22.5">
      <c r="A2" s="153"/>
    </row>
    <row r="3" spans="1:1" s="155" customFormat="1" ht="18">
      <c r="A3" s="158" t="s">
        <v>1</v>
      </c>
    </row>
    <row r="4" spans="1:1" ht="15" customHeight="1">
      <c r="A4" s="161" t="s">
        <v>2</v>
      </c>
    </row>
    <row r="5" spans="1:1" ht="15" customHeight="1">
      <c r="A5" s="161" t="s">
        <v>3</v>
      </c>
    </row>
    <row r="6" spans="1:1" ht="38.25">
      <c r="A6" s="162" t="s">
        <v>4</v>
      </c>
    </row>
    <row r="7" spans="1:1" ht="29.25" customHeight="1">
      <c r="A7" s="162" t="s">
        <v>5</v>
      </c>
    </row>
    <row r="8" spans="1:1" ht="30" customHeight="1">
      <c r="A8" s="163" t="s">
        <v>6</v>
      </c>
    </row>
    <row r="9" spans="1:1" s="166" customFormat="1" ht="16.5" customHeight="1">
      <c r="A9" s="165" t="s">
        <v>7</v>
      </c>
    </row>
    <row r="10" spans="1:1" ht="16.5" customHeight="1">
      <c r="A10" s="156"/>
    </row>
    <row r="11" spans="1:1" s="155" customFormat="1" ht="18">
      <c r="A11" s="158" t="s">
        <v>8</v>
      </c>
    </row>
    <row r="12" spans="1:1" s="159" customFormat="1" ht="15">
      <c r="A12" s="164" t="s">
        <v>9</v>
      </c>
    </row>
    <row r="13" spans="1:1" ht="38.25">
      <c r="A13" s="161" t="s">
        <v>10</v>
      </c>
    </row>
    <row r="14" spans="1:1">
      <c r="A14" s="161" t="s">
        <v>11</v>
      </c>
    </row>
    <row r="15" spans="1:1" ht="25.5">
      <c r="A15" s="162" t="s">
        <v>12</v>
      </c>
    </row>
    <row r="16" spans="1:1">
      <c r="A16" s="156"/>
    </row>
    <row r="17" spans="1:4" s="159" customFormat="1" ht="15">
      <c r="A17" s="164" t="s">
        <v>13</v>
      </c>
    </row>
    <row r="18" spans="1:4">
      <c r="A18" s="161" t="s">
        <v>14</v>
      </c>
      <c r="B18" s="156"/>
    </row>
    <row r="19" spans="1:4">
      <c r="A19" s="164" t="s">
        <v>15</v>
      </c>
    </row>
    <row r="20" spans="1:4">
      <c r="A20" s="161" t="s">
        <v>16</v>
      </c>
      <c r="B20" s="156"/>
    </row>
    <row r="21" spans="1:4" ht="25.5">
      <c r="A21" s="162" t="s">
        <v>17</v>
      </c>
    </row>
    <row r="22" spans="1:4">
      <c r="A22" s="161" t="s">
        <v>18</v>
      </c>
      <c r="B22" s="160"/>
    </row>
    <row r="23" spans="1:4">
      <c r="A23" s="161" t="s">
        <v>19</v>
      </c>
      <c r="B23" s="156"/>
    </row>
    <row r="24" spans="1:4">
      <c r="A24" s="161" t="s">
        <v>20</v>
      </c>
      <c r="B24" s="156"/>
    </row>
    <row r="25" spans="1:4">
      <c r="A25" s="161" t="s">
        <v>21</v>
      </c>
      <c r="B25" s="156"/>
      <c r="C25" s="156" t="s">
        <v>22</v>
      </c>
      <c r="D25" s="156" t="s">
        <v>22</v>
      </c>
    </row>
    <row r="26" spans="1:4">
      <c r="A26" s="161" t="s">
        <v>23</v>
      </c>
    </row>
    <row r="27" spans="1:4">
      <c r="A27" s="161" t="s">
        <v>24</v>
      </c>
      <c r="B27" s="156"/>
    </row>
    <row r="28" spans="1:4">
      <c r="A28" s="161" t="s">
        <v>25</v>
      </c>
    </row>
    <row r="29" spans="1:4">
      <c r="A29" s="161" t="s">
        <v>26</v>
      </c>
    </row>
    <row r="30" spans="1:4">
      <c r="A30" s="161" t="s">
        <v>27</v>
      </c>
      <c r="B30" s="156"/>
      <c r="C30" s="156" t="s">
        <v>22</v>
      </c>
    </row>
    <row r="31" spans="1:4">
      <c r="A31" s="164" t="s">
        <v>28</v>
      </c>
    </row>
    <row r="32" spans="1:4" ht="30" customHeight="1">
      <c r="A32" s="162" t="s">
        <v>29</v>
      </c>
    </row>
    <row r="33" spans="1:2">
      <c r="A33" s="161" t="s">
        <v>30</v>
      </c>
    </row>
    <row r="34" spans="1:2">
      <c r="A34" s="161" t="s">
        <v>31</v>
      </c>
    </row>
    <row r="35" spans="1:2">
      <c r="A35" s="161" t="s">
        <v>32</v>
      </c>
      <c r="B35" s="156"/>
    </row>
    <row r="36" spans="1:2">
      <c r="A36" s="161" t="s">
        <v>33</v>
      </c>
      <c r="B36" s="156"/>
    </row>
    <row r="37" spans="1:2">
      <c r="A37" s="164" t="s">
        <v>34</v>
      </c>
    </row>
    <row r="38" spans="1:2">
      <c r="A38" s="161" t="s">
        <v>35</v>
      </c>
    </row>
    <row r="39" spans="1:2" ht="38.25">
      <c r="A39" s="163" t="s">
        <v>36</v>
      </c>
      <c r="B39" s="156"/>
    </row>
    <row r="40" spans="1:2">
      <c r="A40" s="163"/>
      <c r="B40" s="156"/>
    </row>
    <row r="41" spans="1:2" s="159" customFormat="1" ht="15">
      <c r="A41" s="164" t="s">
        <v>37</v>
      </c>
    </row>
    <row r="42" spans="1:2">
      <c r="A42" s="161" t="s">
        <v>38</v>
      </c>
    </row>
    <row r="43" spans="1:2">
      <c r="A43" s="161" t="s">
        <v>39</v>
      </c>
    </row>
    <row r="44" spans="1:2">
      <c r="A44" s="161" t="s">
        <v>40</v>
      </c>
    </row>
    <row r="45" spans="1:2">
      <c r="A45" s="161" t="s">
        <v>41</v>
      </c>
    </row>
    <row r="46" spans="1:2">
      <c r="A46" s="161" t="s">
        <v>42</v>
      </c>
    </row>
    <row r="47" spans="1:2">
      <c r="A47" s="161" t="s">
        <v>43</v>
      </c>
    </row>
    <row r="48" spans="1:2">
      <c r="A48" s="156" t="s">
        <v>44</v>
      </c>
    </row>
    <row r="49" spans="1:1">
      <c r="A49" s="156"/>
    </row>
  </sheetData>
  <phoneticPr fontId="44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80B9-E9A4-47F6-A673-6357447DF6A1}">
  <dimension ref="A2:F17"/>
  <sheetViews>
    <sheetView showGridLines="0" workbookViewId="0">
      <selection activeCell="E20" sqref="E20"/>
    </sheetView>
  </sheetViews>
  <sheetFormatPr defaultColWidth="9" defaultRowHeight="12.75"/>
  <cols>
    <col min="1" max="1" width="28.140625" style="26" customWidth="1"/>
    <col min="2" max="2" width="10" style="3" customWidth="1"/>
    <col min="3" max="3" width="14.28515625" style="3" customWidth="1"/>
    <col min="4" max="4" width="21.85546875" style="3" customWidth="1"/>
    <col min="5" max="5" width="47.7109375" style="272" customWidth="1"/>
    <col min="6" max="6" width="48.140625" style="3" customWidth="1"/>
    <col min="7" max="16384" width="9" style="3"/>
  </cols>
  <sheetData>
    <row r="2" spans="1:6" s="2" customFormat="1" ht="75.75" customHeight="1">
      <c r="A2" s="1"/>
      <c r="B2" s="309" t="s">
        <v>45</v>
      </c>
      <c r="C2" s="309"/>
      <c r="D2" s="309"/>
      <c r="E2" s="309"/>
      <c r="F2" s="309"/>
    </row>
    <row r="3" spans="1:6">
      <c r="A3" s="4"/>
      <c r="B3" s="5"/>
      <c r="E3" s="33"/>
    </row>
    <row r="4" spans="1:6" ht="14.25" customHeight="1">
      <c r="A4" s="299" t="s">
        <v>46</v>
      </c>
      <c r="B4" s="310" t="s">
        <v>47</v>
      </c>
      <c r="C4" s="310"/>
      <c r="D4" s="310"/>
      <c r="E4" s="269" t="s">
        <v>48</v>
      </c>
      <c r="F4" s="7" t="s">
        <v>49</v>
      </c>
    </row>
    <row r="5" spans="1:6" ht="14.25" customHeight="1">
      <c r="A5" s="299" t="s">
        <v>50</v>
      </c>
      <c r="B5" s="310" t="s">
        <v>51</v>
      </c>
      <c r="C5" s="310"/>
      <c r="D5" s="310"/>
      <c r="E5" s="269" t="s">
        <v>52</v>
      </c>
      <c r="F5" s="265">
        <v>45779</v>
      </c>
    </row>
    <row r="6" spans="1:6" ht="15.75" customHeight="1">
      <c r="A6" s="186" t="s">
        <v>53</v>
      </c>
      <c r="B6" s="311" t="str">
        <f>B5&amp;"_"&amp;"UnitTestReport"&amp;"_"&amp;"vx.x"</f>
        <v>SP25SE026_UnitTestReport_vx.x</v>
      </c>
      <c r="C6" s="312"/>
      <c r="D6" s="313"/>
      <c r="E6" s="269" t="s">
        <v>54</v>
      </c>
      <c r="F6" s="264" t="s">
        <v>55</v>
      </c>
    </row>
    <row r="7" spans="1:6">
      <c r="A7" s="167"/>
      <c r="B7" s="8"/>
      <c r="C7" s="9"/>
      <c r="D7" s="9"/>
      <c r="E7" s="270"/>
      <c r="F7" s="10"/>
    </row>
    <row r="8" spans="1:6">
      <c r="A8" s="11"/>
      <c r="B8" s="12"/>
      <c r="C8" s="12"/>
      <c r="D8" s="12"/>
      <c r="E8" s="271"/>
    </row>
    <row r="9" spans="1:6">
      <c r="A9" s="168" t="s">
        <v>56</v>
      </c>
    </row>
    <row r="10" spans="1:6" s="13" customFormat="1">
      <c r="A10" s="14" t="s">
        <v>57</v>
      </c>
      <c r="B10" s="15" t="s">
        <v>54</v>
      </c>
      <c r="C10" s="15" t="s">
        <v>58</v>
      </c>
      <c r="D10" s="15" t="s">
        <v>59</v>
      </c>
      <c r="E10" s="273" t="s">
        <v>60</v>
      </c>
      <c r="F10" s="16" t="s">
        <v>61</v>
      </c>
    </row>
    <row r="11" spans="1:6" s="17" customFormat="1" ht="26.25" customHeight="1">
      <c r="A11" s="266">
        <v>45779</v>
      </c>
      <c r="B11" s="18" t="s">
        <v>55</v>
      </c>
      <c r="C11" s="19"/>
      <c r="D11" s="19" t="s">
        <v>62</v>
      </c>
      <c r="E11" s="274" t="s">
        <v>63</v>
      </c>
      <c r="F11" s="151"/>
    </row>
    <row r="12" spans="1:6" s="17" customFormat="1" ht="37.5">
      <c r="A12" s="266">
        <v>45779</v>
      </c>
      <c r="B12" s="18" t="s">
        <v>55</v>
      </c>
      <c r="C12" s="19"/>
      <c r="D12" s="19" t="s">
        <v>62</v>
      </c>
      <c r="E12" s="275" t="s">
        <v>64</v>
      </c>
      <c r="F12" s="21"/>
    </row>
    <row r="13" spans="1:6" s="17" customFormat="1" ht="24.75">
      <c r="A13" s="266">
        <v>45779</v>
      </c>
      <c r="B13" s="18" t="s">
        <v>55</v>
      </c>
      <c r="C13" s="19"/>
      <c r="D13" s="19" t="s">
        <v>62</v>
      </c>
      <c r="E13" s="275" t="s">
        <v>65</v>
      </c>
      <c r="F13" s="21"/>
    </row>
    <row r="14" spans="1:6" s="17" customFormat="1" ht="24.75">
      <c r="A14" s="266">
        <v>45779</v>
      </c>
      <c r="B14" s="18" t="s">
        <v>55</v>
      </c>
      <c r="C14" s="19"/>
      <c r="D14" s="19" t="s">
        <v>62</v>
      </c>
      <c r="E14" s="275" t="s">
        <v>66</v>
      </c>
      <c r="F14" s="21"/>
    </row>
    <row r="15" spans="1:6" s="17" customFormat="1" ht="24.75">
      <c r="A15" s="266">
        <v>45779</v>
      </c>
      <c r="B15" s="18" t="s">
        <v>55</v>
      </c>
      <c r="C15" s="19"/>
      <c r="D15" s="19" t="s">
        <v>62</v>
      </c>
      <c r="E15" s="275" t="s">
        <v>67</v>
      </c>
      <c r="F15" s="21"/>
    </row>
    <row r="16" spans="1:6" s="17" customFormat="1" ht="21.75" customHeight="1">
      <c r="A16" s="20"/>
      <c r="B16" s="18"/>
      <c r="C16" s="19"/>
      <c r="D16" s="19"/>
      <c r="E16" s="275"/>
      <c r="F16" s="21"/>
    </row>
    <row r="17" spans="1:6" s="17" customFormat="1" ht="19.5" customHeight="1">
      <c r="A17" s="22"/>
      <c r="B17" s="23"/>
      <c r="C17" s="24"/>
      <c r="D17" s="24"/>
      <c r="E17" s="276"/>
      <c r="F17" s="25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9C53-3ECD-4E1B-A350-16F685B43E79}">
  <dimension ref="A2:H22"/>
  <sheetViews>
    <sheetView zoomScaleNormal="100" workbookViewId="0">
      <selection activeCell="C12" sqref="C12"/>
    </sheetView>
  </sheetViews>
  <sheetFormatPr defaultColWidth="9" defaultRowHeight="12.75"/>
  <cols>
    <col min="1" max="1" width="7.140625" style="55" customWidth="1"/>
    <col min="2" max="2" width="14.85546875" style="55" customWidth="1"/>
    <col min="3" max="3" width="24.28515625" style="55" bestFit="1" customWidth="1"/>
    <col min="4" max="4" width="30.5703125" style="28" customWidth="1"/>
    <col min="5" max="5" width="21" style="29" customWidth="1"/>
    <col min="6" max="6" width="26.5703125" style="28" bestFit="1" customWidth="1"/>
    <col min="7" max="7" width="41.85546875" style="28" customWidth="1"/>
    <col min="8" max="8" width="51.28515625" style="28" customWidth="1"/>
    <col min="9" max="16384" width="9" style="6"/>
  </cols>
  <sheetData>
    <row r="2" spans="1:8" ht="25.5">
      <c r="A2" s="27"/>
      <c r="B2" s="27"/>
      <c r="C2" s="27"/>
      <c r="E2" s="30" t="s">
        <v>68</v>
      </c>
      <c r="F2" s="30"/>
      <c r="G2" s="31"/>
    </row>
    <row r="3" spans="1:8" ht="13.5" customHeight="1">
      <c r="A3" s="27"/>
      <c r="B3" s="27"/>
      <c r="C3" s="27"/>
      <c r="F3" s="32"/>
      <c r="G3" s="32"/>
    </row>
    <row r="4" spans="1:8" ht="14.25" customHeight="1">
      <c r="A4" s="315" t="s">
        <v>46</v>
      </c>
      <c r="B4" s="315"/>
      <c r="C4" s="315"/>
      <c r="D4" s="315"/>
      <c r="E4" s="316" t="str">
        <f>Cover!B4</f>
        <v>Woodwork Design, Crafting &amp; Repair Booking Platform</v>
      </c>
      <c r="F4" s="317"/>
      <c r="G4" s="317"/>
      <c r="H4" s="318"/>
    </row>
    <row r="5" spans="1:8" ht="14.25" customHeight="1">
      <c r="A5" s="315" t="s">
        <v>50</v>
      </c>
      <c r="B5" s="315"/>
      <c r="C5" s="315"/>
      <c r="D5" s="315"/>
      <c r="E5" s="316" t="str">
        <f>Cover!B5</f>
        <v>SP25SE026</v>
      </c>
      <c r="F5" s="317"/>
      <c r="G5" s="317"/>
      <c r="H5" s="318"/>
    </row>
    <row r="6" spans="1:8" ht="14.25" customHeight="1">
      <c r="A6" s="322" t="s">
        <v>69</v>
      </c>
      <c r="B6" s="323"/>
      <c r="C6" s="323"/>
      <c r="D6" s="324"/>
      <c r="E6" s="296">
        <v>100</v>
      </c>
      <c r="F6" s="297"/>
      <c r="G6" s="297"/>
      <c r="H6" s="298"/>
    </row>
    <row r="7" spans="1:8" s="33" customFormat="1" ht="34.5" customHeight="1">
      <c r="A7" s="314" t="s">
        <v>70</v>
      </c>
      <c r="B7" s="314"/>
      <c r="C7" s="314"/>
      <c r="D7" s="314"/>
      <c r="E7" s="319" t="s">
        <v>71</v>
      </c>
      <c r="F7" s="320"/>
      <c r="G7" s="320"/>
      <c r="H7" s="321"/>
    </row>
    <row r="8" spans="1:8">
      <c r="A8" s="34"/>
      <c r="B8" s="34"/>
      <c r="C8" s="34"/>
      <c r="D8" s="35"/>
      <c r="E8" s="36"/>
      <c r="F8" s="35"/>
      <c r="G8" s="35"/>
      <c r="H8" s="35"/>
    </row>
    <row r="9" spans="1:8" s="40" customFormat="1">
      <c r="A9" s="37"/>
      <c r="B9" s="37"/>
      <c r="C9" s="37"/>
      <c r="D9" s="38"/>
      <c r="E9" s="39"/>
      <c r="F9" s="38"/>
      <c r="G9" s="38"/>
      <c r="H9" s="38"/>
    </row>
    <row r="10" spans="1:8" s="48" customFormat="1" ht="24" customHeight="1">
      <c r="A10" s="41" t="s">
        <v>72</v>
      </c>
      <c r="B10" s="42" t="s">
        <v>73</v>
      </c>
      <c r="C10" s="43" t="s">
        <v>74</v>
      </c>
      <c r="D10" s="44" t="s">
        <v>75</v>
      </c>
      <c r="E10" s="45" t="s">
        <v>76</v>
      </c>
      <c r="F10" s="44" t="s">
        <v>77</v>
      </c>
      <c r="G10" s="46" t="s">
        <v>78</v>
      </c>
      <c r="H10" s="47" t="s">
        <v>79</v>
      </c>
    </row>
    <row r="11" spans="1:8">
      <c r="A11" s="152">
        <v>1</v>
      </c>
      <c r="B11" s="49"/>
      <c r="C11" s="49" t="s">
        <v>80</v>
      </c>
      <c r="D11" s="50" t="s">
        <v>81</v>
      </c>
      <c r="E11" s="51"/>
      <c r="F11" s="52" t="str">
        <f>registerWoodworker!L2</f>
        <v>registerWoodworker</v>
      </c>
      <c r="G11" s="52"/>
      <c r="H11" s="53"/>
    </row>
    <row r="12" spans="1:8">
      <c r="A12" s="152">
        <v>2</v>
      </c>
      <c r="B12" s="49"/>
      <c r="C12" s="49" t="s">
        <v>82</v>
      </c>
      <c r="D12" s="50" t="s">
        <v>83</v>
      </c>
      <c r="E12" s="51"/>
      <c r="F12" s="52" t="str">
        <f>createWalletOrderPayment!L2</f>
        <v>createWalletOrderPayment</v>
      </c>
      <c r="G12" s="52"/>
      <c r="H12" s="53"/>
    </row>
    <row r="13" spans="1:8">
      <c r="A13" s="152">
        <v>3</v>
      </c>
      <c r="B13" s="49"/>
      <c r="C13" s="49" t="s">
        <v>84</v>
      </c>
      <c r="D13" s="50" t="s">
        <v>85</v>
      </c>
      <c r="E13" s="51"/>
      <c r="F13" s="52" t="str">
        <f>createUserAddress!L2</f>
        <v>createUserAddress</v>
      </c>
      <c r="G13" s="52"/>
      <c r="H13" s="53"/>
    </row>
    <row r="14" spans="1:8">
      <c r="A14" s="152">
        <v>4</v>
      </c>
      <c r="B14" s="49"/>
      <c r="C14" s="49" t="s">
        <v>86</v>
      </c>
      <c r="D14" s="50" t="s">
        <v>87</v>
      </c>
      <c r="E14" s="51"/>
      <c r="F14" s="459" t="s">
        <v>87</v>
      </c>
      <c r="G14" s="52"/>
      <c r="H14" s="53"/>
    </row>
    <row r="15" spans="1:8">
      <c r="A15" s="152">
        <v>5</v>
      </c>
      <c r="B15" s="49"/>
      <c r="C15" s="49" t="s">
        <v>88</v>
      </c>
      <c r="D15" s="50" t="s">
        <v>89</v>
      </c>
      <c r="E15" s="51"/>
      <c r="F15" s="268" t="str">
        <f>saveQuotationDetails!L2</f>
        <v>saveQuotationDetails</v>
      </c>
      <c r="G15" s="52"/>
      <c r="H15" s="53"/>
    </row>
    <row r="16" spans="1:8">
      <c r="A16" s="152">
        <v>6</v>
      </c>
      <c r="B16" s="49"/>
      <c r="C16" s="267" t="s">
        <v>88</v>
      </c>
      <c r="D16" s="50" t="s">
        <v>90</v>
      </c>
      <c r="E16" s="51"/>
      <c r="F16" s="268" t="str">
        <f>saveGuaranteeQuotationDetails!L2</f>
        <v>saveGuaranteeQuotationDetails</v>
      </c>
      <c r="G16" s="54"/>
      <c r="H16" s="53"/>
    </row>
    <row r="17" spans="1:8">
      <c r="A17" s="152">
        <v>7</v>
      </c>
      <c r="B17" s="49"/>
      <c r="C17" s="49" t="s">
        <v>91</v>
      </c>
      <c r="D17" s="50" t="s">
        <v>92</v>
      </c>
      <c r="E17" s="51"/>
      <c r="F17" s="268" t="s">
        <v>93</v>
      </c>
      <c r="G17" s="54"/>
      <c r="H17" s="53"/>
    </row>
    <row r="18" spans="1:8">
      <c r="A18" s="152">
        <v>8</v>
      </c>
      <c r="B18" s="49"/>
      <c r="C18" s="49" t="s">
        <v>94</v>
      </c>
      <c r="D18" s="50" t="s">
        <v>95</v>
      </c>
      <c r="E18" s="51"/>
      <c r="F18" s="268" t="s">
        <v>96</v>
      </c>
      <c r="G18" s="54"/>
      <c r="H18" s="53"/>
    </row>
    <row r="19" spans="1:8">
      <c r="A19" s="152">
        <v>9</v>
      </c>
      <c r="B19" s="49"/>
      <c r="C19" s="49" t="s">
        <v>97</v>
      </c>
      <c r="D19" s="50" t="s">
        <v>98</v>
      </c>
      <c r="E19" s="51"/>
      <c r="F19" s="268" t="str">
        <f>createReview!L2</f>
        <v>createReview</v>
      </c>
      <c r="G19" s="54"/>
      <c r="H19" s="53"/>
    </row>
    <row r="20" spans="1:8">
      <c r="A20" s="152">
        <v>10</v>
      </c>
      <c r="B20" s="49"/>
      <c r="C20" s="49" t="s">
        <v>99</v>
      </c>
      <c r="D20" s="50" t="s">
        <v>100</v>
      </c>
      <c r="E20" s="51"/>
      <c r="F20" s="268" t="str">
        <f>addDesignIdea!L2</f>
        <v>addDesignIdea</v>
      </c>
      <c r="G20" s="54"/>
      <c r="H20" s="53"/>
    </row>
    <row r="21" spans="1:8">
      <c r="A21" s="152">
        <v>11</v>
      </c>
      <c r="B21" s="49"/>
      <c r="C21" s="49" t="s">
        <v>101</v>
      </c>
      <c r="D21" s="50" t="s">
        <v>102</v>
      </c>
      <c r="E21" s="51"/>
      <c r="F21" s="268" t="str">
        <f>createPersonalOrder!L2</f>
        <v>createPersonalOrder</v>
      </c>
      <c r="G21" s="54"/>
      <c r="H21" s="53"/>
    </row>
    <row r="22" spans="1:8">
      <c r="A22" s="152">
        <v>12</v>
      </c>
      <c r="B22" s="49"/>
      <c r="C22" s="49" t="s">
        <v>101</v>
      </c>
      <c r="D22" s="50" t="s">
        <v>103</v>
      </c>
      <c r="E22" s="51"/>
      <c r="F22" s="268" t="str">
        <f>createCustomizeOrder!L2</f>
        <v>createCustomizeOrder</v>
      </c>
      <c r="G22" s="54"/>
      <c r="H22" s="53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8332-89D5-4825-A3A8-F50801F57094}">
  <dimension ref="A2:I30"/>
  <sheetViews>
    <sheetView workbookViewId="0">
      <selection activeCell="F21" sqref="F21"/>
    </sheetView>
  </sheetViews>
  <sheetFormatPr defaultColWidth="9" defaultRowHeight="12.75"/>
  <cols>
    <col min="1" max="1" width="15.28515625" style="6" customWidth="1"/>
    <col min="2" max="2" width="26.7109375" style="6" customWidth="1"/>
    <col min="3" max="3" width="7.42578125" style="6" bestFit="1" customWidth="1"/>
    <col min="4" max="4" width="9.7109375" style="6" customWidth="1"/>
    <col min="5" max="5" width="9.85546875" style="6" customWidth="1"/>
    <col min="6" max="8" width="5.140625" style="6" customWidth="1"/>
    <col min="9" max="9" width="21" style="6" customWidth="1"/>
    <col min="10" max="10" width="33.140625" style="6" customWidth="1"/>
    <col min="11" max="16384" width="9" style="6"/>
  </cols>
  <sheetData>
    <row r="2" spans="1:9" ht="25.5" customHeight="1">
      <c r="A2" s="331" t="s">
        <v>104</v>
      </c>
      <c r="B2" s="331"/>
      <c r="C2" s="331"/>
      <c r="D2" s="331"/>
      <c r="E2" s="331"/>
      <c r="F2" s="331"/>
      <c r="G2" s="331"/>
      <c r="H2" s="331"/>
      <c r="I2" s="331"/>
    </row>
    <row r="3" spans="1:9" ht="14.25" customHeight="1">
      <c r="A3" s="56"/>
      <c r="B3" s="57"/>
      <c r="C3" s="57"/>
      <c r="D3" s="57"/>
      <c r="E3" s="57"/>
      <c r="F3" s="57"/>
      <c r="G3" s="57"/>
      <c r="H3" s="57"/>
      <c r="I3" s="58"/>
    </row>
    <row r="4" spans="1:9" ht="13.5" customHeight="1">
      <c r="A4" s="185" t="s">
        <v>46</v>
      </c>
      <c r="B4" s="328" t="str">
        <f>Cover!B4</f>
        <v>Woodwork Design, Crafting &amp; Repair Booking Platform</v>
      </c>
      <c r="C4" s="328"/>
      <c r="D4" s="329" t="s">
        <v>48</v>
      </c>
      <c r="E4" s="329"/>
      <c r="F4" s="332"/>
      <c r="G4" s="333"/>
      <c r="H4" s="333"/>
      <c r="I4" s="334"/>
    </row>
    <row r="5" spans="1:9" ht="13.5" customHeight="1">
      <c r="A5" s="185" t="s">
        <v>50</v>
      </c>
      <c r="B5" s="328" t="str">
        <f>Cover!B5</f>
        <v>SP25SE026</v>
      </c>
      <c r="C5" s="328"/>
      <c r="D5" s="329" t="s">
        <v>105</v>
      </c>
      <c r="E5" s="329"/>
      <c r="F5" s="332"/>
      <c r="G5" s="333"/>
      <c r="H5" s="333"/>
      <c r="I5" s="334"/>
    </row>
    <row r="6" spans="1:9" ht="12.75" customHeight="1">
      <c r="A6" s="186" t="s">
        <v>53</v>
      </c>
      <c r="B6" s="328" t="str">
        <f>B5&amp;"_"&amp;"Test Report"&amp;"_"&amp;"vx.x"</f>
        <v>SP25SE026_Test Report_vx.x</v>
      </c>
      <c r="C6" s="328"/>
      <c r="D6" s="329" t="s">
        <v>52</v>
      </c>
      <c r="E6" s="329"/>
      <c r="F6" s="325">
        <v>45778</v>
      </c>
      <c r="G6" s="326"/>
      <c r="H6" s="326"/>
      <c r="I6" s="327"/>
    </row>
    <row r="7" spans="1:9" ht="15.75" customHeight="1">
      <c r="A7" s="186" t="s">
        <v>106</v>
      </c>
      <c r="B7" s="330"/>
      <c r="C7" s="330"/>
      <c r="D7" s="330"/>
      <c r="E7" s="330"/>
      <c r="F7" s="330"/>
      <c r="G7" s="330"/>
      <c r="H7" s="330"/>
      <c r="I7" s="330"/>
    </row>
    <row r="8" spans="1:9" ht="14.25" customHeight="1">
      <c r="A8" s="59"/>
      <c r="B8" s="60"/>
      <c r="C8" s="57"/>
      <c r="D8" s="57"/>
      <c r="E8" s="57"/>
      <c r="F8" s="57"/>
      <c r="G8" s="57"/>
      <c r="H8" s="57"/>
      <c r="I8" s="58"/>
    </row>
    <row r="9" spans="1:9">
      <c r="A9" s="59"/>
      <c r="B9" s="60"/>
      <c r="C9" s="57"/>
      <c r="D9" s="57"/>
      <c r="E9" s="57"/>
      <c r="F9" s="57"/>
      <c r="G9" s="57"/>
      <c r="H9" s="57"/>
      <c r="I9" s="58"/>
    </row>
    <row r="10" spans="1:9">
      <c r="A10" s="61"/>
      <c r="B10" s="61"/>
      <c r="C10" s="61"/>
      <c r="D10" s="61"/>
      <c r="E10" s="61"/>
      <c r="F10" s="61"/>
      <c r="G10" s="61"/>
      <c r="H10" s="61"/>
      <c r="I10" s="61"/>
    </row>
    <row r="11" spans="1:9" ht="14.25" customHeight="1">
      <c r="A11" s="62" t="s">
        <v>72</v>
      </c>
      <c r="B11" s="63" t="s">
        <v>107</v>
      </c>
      <c r="C11" s="64" t="s">
        <v>108</v>
      </c>
      <c r="D11" s="63" t="s">
        <v>109</v>
      </c>
      <c r="E11" s="65" t="s">
        <v>110</v>
      </c>
      <c r="F11" s="65" t="s">
        <v>111</v>
      </c>
      <c r="G11" s="65" t="s">
        <v>62</v>
      </c>
      <c r="H11" s="65" t="s">
        <v>112</v>
      </c>
      <c r="I11" s="66" t="s">
        <v>113</v>
      </c>
    </row>
    <row r="12" spans="1:9">
      <c r="A12" s="67">
        <v>1</v>
      </c>
      <c r="B12" s="171" t="s">
        <v>81</v>
      </c>
      <c r="C12" s="68">
        <f>registerWoodworker!A7</f>
        <v>11</v>
      </c>
      <c r="D12" s="68">
        <f>registerWoodworker!C7</f>
        <v>3</v>
      </c>
      <c r="E12" s="68">
        <f>registerWoodworker!F7</f>
        <v>0</v>
      </c>
      <c r="F12" s="69">
        <f>registerWoodworker!L7</f>
        <v>10</v>
      </c>
      <c r="G12" s="68">
        <f>registerWoodworker!M7</f>
        <v>3</v>
      </c>
      <c r="H12" s="68">
        <f>registerWoodworker!N8</f>
        <v>0</v>
      </c>
      <c r="I12" s="68">
        <f>registerWoodworker!O7</f>
        <v>14</v>
      </c>
    </row>
    <row r="13" spans="1:9">
      <c r="A13" s="67">
        <v>2</v>
      </c>
      <c r="B13" s="171" t="s">
        <v>83</v>
      </c>
      <c r="C13" s="68">
        <f>createWalletOrderPayment!A8</f>
        <v>7</v>
      </c>
      <c r="D13" s="68">
        <f>createWalletOrderPayment!C8</f>
        <v>0</v>
      </c>
      <c r="E13" s="68">
        <f>createWalletOrderPayment!F8</f>
        <v>0</v>
      </c>
      <c r="F13" s="69">
        <f>createWalletOrderPayment!L8</f>
        <v>5</v>
      </c>
      <c r="G13" s="68">
        <f>createWalletOrderPayment!M8</f>
        <v>1</v>
      </c>
      <c r="H13" s="68">
        <f>createWalletOrderPayment!N8</f>
        <v>1</v>
      </c>
      <c r="I13" s="68">
        <f>createWalletOrderPayment!O8</f>
        <v>7</v>
      </c>
    </row>
    <row r="14" spans="1:9">
      <c r="A14" s="67">
        <v>3</v>
      </c>
      <c r="B14" s="171" t="s">
        <v>85</v>
      </c>
      <c r="C14" s="68">
        <f>createUserAddress!A7</f>
        <v>5</v>
      </c>
      <c r="D14" s="68">
        <f>createUserAddress!C7</f>
        <v>1</v>
      </c>
      <c r="E14" s="68">
        <f>createUserAddress!F7</f>
        <v>0</v>
      </c>
      <c r="F14" s="69">
        <f>createUserAddress!L7</f>
        <v>5</v>
      </c>
      <c r="G14" s="68">
        <f>createUserAddress!M7</f>
        <v>0</v>
      </c>
      <c r="H14" s="68">
        <f>createUserAddress!N8</f>
        <v>0</v>
      </c>
      <c r="I14" s="68">
        <f>createUserAddress!O7</f>
        <v>6</v>
      </c>
    </row>
    <row r="15" spans="1:9">
      <c r="A15" s="67">
        <v>4</v>
      </c>
      <c r="B15" s="459" t="s">
        <v>87</v>
      </c>
      <c r="C15" s="68">
        <f>signup!A7</f>
        <v>12</v>
      </c>
      <c r="D15" s="68">
        <f>signup!C7</f>
        <v>2</v>
      </c>
      <c r="E15" s="68">
        <f>signup!F7</f>
        <v>1</v>
      </c>
      <c r="F15" s="472">
        <f>signup!L7</f>
        <v>11</v>
      </c>
      <c r="G15" s="68">
        <f>signup!M7</f>
        <v>3</v>
      </c>
      <c r="H15" s="68">
        <f>signup!N8</f>
        <v>0</v>
      </c>
      <c r="I15" s="68">
        <f>signup!G7</f>
        <v>0</v>
      </c>
    </row>
    <row r="16" spans="1:9">
      <c r="A16" s="67">
        <v>5</v>
      </c>
      <c r="B16" s="457" t="s">
        <v>89</v>
      </c>
      <c r="C16" s="68">
        <f>saveQuotationDetails!A7</f>
        <v>11</v>
      </c>
      <c r="D16" s="68">
        <f>saveQuotationDetails!B7</f>
        <v>0</v>
      </c>
      <c r="E16" s="68">
        <f>saveQuotationDetails!C7</f>
        <v>3</v>
      </c>
      <c r="F16" s="472">
        <f>saveQuotationDetails!L7</f>
        <v>11</v>
      </c>
      <c r="G16" s="68">
        <f>saveQuotationDetails!M7</f>
        <v>3</v>
      </c>
      <c r="H16" s="68">
        <f>saveQuotationDetails!N8</f>
        <v>0</v>
      </c>
      <c r="I16" s="68">
        <f>saveQuotationDetails!G7</f>
        <v>0</v>
      </c>
    </row>
    <row r="17" spans="1:9">
      <c r="A17" s="67">
        <v>6</v>
      </c>
      <c r="B17" s="458" t="s">
        <v>90</v>
      </c>
      <c r="C17" s="68">
        <f>saveGuaranteeQuotationDetails!A7</f>
        <v>12</v>
      </c>
      <c r="D17" s="68">
        <f>saveGuaranteeQuotationDetails!B7</f>
        <v>0</v>
      </c>
      <c r="E17" s="68">
        <f>saveGuaranteeQuotationDetails!F7</f>
        <v>1</v>
      </c>
      <c r="F17" s="472">
        <f>saveGuaranteeQuotationDetails!L7</f>
        <v>11</v>
      </c>
      <c r="G17" s="68">
        <f>saveGuaranteeQuotationDetails!M7</f>
        <v>3</v>
      </c>
      <c r="H17" s="68">
        <f>saveGuaranteeQuotationDetails!N8</f>
        <v>0</v>
      </c>
      <c r="I17" s="68">
        <f>saveGuaranteeQuotationDetails!G7</f>
        <v>0</v>
      </c>
    </row>
    <row r="18" spans="1:9">
      <c r="A18" s="67">
        <v>7</v>
      </c>
      <c r="B18" s="458" t="s">
        <v>92</v>
      </c>
      <c r="C18" s="68">
        <f>createPost!A7</f>
        <v>8</v>
      </c>
      <c r="D18" s="68">
        <f>createPost!B7</f>
        <v>0</v>
      </c>
      <c r="E18" s="68">
        <f>createPost!F7</f>
        <v>0</v>
      </c>
      <c r="F18" s="472">
        <f>createPost!L7</f>
        <v>2</v>
      </c>
      <c r="G18" s="68">
        <f>createPost!M7</f>
        <v>5</v>
      </c>
      <c r="H18" s="68">
        <f>createPost!N8</f>
        <v>0</v>
      </c>
      <c r="I18" s="68">
        <f>createPost!G7</f>
        <v>0</v>
      </c>
    </row>
    <row r="19" spans="1:9">
      <c r="A19" s="67">
        <v>8</v>
      </c>
      <c r="B19" s="171" t="s">
        <v>95</v>
      </c>
      <c r="C19" s="68">
        <f>createContractCustomize!A7</f>
        <v>12</v>
      </c>
      <c r="D19" s="68">
        <f>createContractCustomize!B7</f>
        <v>0</v>
      </c>
      <c r="E19" s="68">
        <f>createContractCustomize!C7</f>
        <v>2</v>
      </c>
      <c r="F19" s="472">
        <f>createContractCustomize!L7</f>
        <v>11</v>
      </c>
      <c r="G19" s="68">
        <f>createContractCustomize!M7</f>
        <v>3</v>
      </c>
      <c r="H19" s="68">
        <f>createContractCustomize!N8</f>
        <v>0</v>
      </c>
      <c r="I19" s="68">
        <f>createContractCustomize!G7</f>
        <v>0</v>
      </c>
    </row>
    <row r="20" spans="1:9">
      <c r="A20" s="67">
        <v>9</v>
      </c>
      <c r="B20" s="171" t="s">
        <v>98</v>
      </c>
      <c r="C20" s="68">
        <f>createReview!A7</f>
        <v>12</v>
      </c>
      <c r="D20" s="68">
        <f>createReview!B7</f>
        <v>0</v>
      </c>
      <c r="E20" s="68">
        <f>createReview!F7</f>
        <v>1</v>
      </c>
      <c r="F20" s="472">
        <f>createReview!L7</f>
        <v>11</v>
      </c>
      <c r="G20" s="68">
        <f>createReview!M7</f>
        <v>3</v>
      </c>
      <c r="H20" s="68">
        <f>createReview!N8</f>
        <v>0</v>
      </c>
      <c r="I20" s="68">
        <f>createReview!G7</f>
        <v>0</v>
      </c>
    </row>
    <row r="21" spans="1:9">
      <c r="A21" s="67">
        <v>10</v>
      </c>
      <c r="B21" s="171" t="s">
        <v>100</v>
      </c>
      <c r="C21" s="68">
        <f>addDesignIdea!A7</f>
        <v>8</v>
      </c>
      <c r="D21" s="68">
        <f>addDesignIdea!C7</f>
        <v>0</v>
      </c>
      <c r="E21" s="68">
        <f>addDesignIdea!F7</f>
        <v>0</v>
      </c>
      <c r="F21" s="68">
        <f>addDesignIdea!L7</f>
        <v>1</v>
      </c>
      <c r="G21" s="68">
        <f>addDesignIdea!M7</f>
        <v>7</v>
      </c>
      <c r="H21" s="68">
        <f>addDesignIdea!N8</f>
        <v>0</v>
      </c>
      <c r="I21" s="68">
        <f>addDesignIdea!O7</f>
        <v>8</v>
      </c>
    </row>
    <row r="22" spans="1:9" ht="14.25">
      <c r="A22" s="67">
        <v>11</v>
      </c>
      <c r="B22" s="169" t="s">
        <v>102</v>
      </c>
      <c r="C22" s="68">
        <f>createPersonalOrder!A7</f>
        <v>8</v>
      </c>
      <c r="D22" s="68">
        <f>createPersonalOrder!C7</f>
        <v>2</v>
      </c>
      <c r="E22" s="68">
        <f>createPersonalOrder!F7</f>
        <v>0</v>
      </c>
      <c r="F22" s="68">
        <f>createPersonalOrder!L7</f>
        <v>1</v>
      </c>
      <c r="G22" s="68">
        <f>createPersonalOrder!M7</f>
        <v>9</v>
      </c>
      <c r="H22" s="68">
        <f>createPersonalOrder!N8</f>
        <v>0</v>
      </c>
      <c r="I22" s="68">
        <f>createPersonalOrder!O7</f>
        <v>10</v>
      </c>
    </row>
    <row r="23" spans="1:9" ht="14.25">
      <c r="A23" s="67">
        <v>12</v>
      </c>
      <c r="B23" s="169" t="s">
        <v>103</v>
      </c>
      <c r="C23" s="68">
        <f>createCustomizeOrder!A7</f>
        <v>9</v>
      </c>
      <c r="D23" s="68">
        <f>createCustomizeOrder!C7</f>
        <v>1</v>
      </c>
      <c r="E23" s="68">
        <f>createCustomizeOrder!F7</f>
        <v>0</v>
      </c>
      <c r="F23" s="472">
        <f>createCustomizeOrder!L7</f>
        <v>1</v>
      </c>
      <c r="G23" s="68">
        <f>createCustomizeOrder!M7</f>
        <v>9</v>
      </c>
      <c r="H23" s="68">
        <f>createCustomizeOrder!N8</f>
        <v>0</v>
      </c>
      <c r="I23" s="68">
        <f>createCustomizeOrder!O7</f>
        <v>10</v>
      </c>
    </row>
    <row r="24" spans="1:9" ht="14.25">
      <c r="A24" s="70"/>
      <c r="B24" s="170" t="s">
        <v>114</v>
      </c>
      <c r="C24" s="71">
        <f t="shared" ref="C24:I24" si="0">SUM(C10:C23)</f>
        <v>115</v>
      </c>
      <c r="D24" s="71">
        <f t="shared" si="0"/>
        <v>9</v>
      </c>
      <c r="E24" s="71">
        <f t="shared" si="0"/>
        <v>8</v>
      </c>
      <c r="F24" s="71">
        <f t="shared" si="0"/>
        <v>80</v>
      </c>
      <c r="G24" s="71">
        <f t="shared" si="0"/>
        <v>49</v>
      </c>
      <c r="H24" s="71">
        <f t="shared" si="0"/>
        <v>1</v>
      </c>
      <c r="I24" s="71">
        <f t="shared" si="0"/>
        <v>55</v>
      </c>
    </row>
    <row r="25" spans="1:9">
      <c r="A25" s="72"/>
      <c r="B25" s="61"/>
      <c r="C25" s="73"/>
      <c r="D25" s="74"/>
      <c r="E25" s="74"/>
      <c r="F25" s="74"/>
      <c r="G25" s="74"/>
      <c r="H25" s="74"/>
      <c r="I25" s="74"/>
    </row>
    <row r="26" spans="1:9">
      <c r="A26" s="61"/>
      <c r="B26" s="187" t="s">
        <v>115</v>
      </c>
      <c r="C26" s="61"/>
      <c r="D26" s="188">
        <f>(C24+D24)*100/(I24)</f>
        <v>225.45454545454547</v>
      </c>
      <c r="E26" s="61" t="s">
        <v>116</v>
      </c>
      <c r="F26" s="61"/>
      <c r="G26" s="61"/>
      <c r="H26" s="61"/>
      <c r="I26" s="75"/>
    </row>
    <row r="27" spans="1:9">
      <c r="A27" s="61"/>
      <c r="B27" s="187" t="s">
        <v>117</v>
      </c>
      <c r="C27" s="61"/>
      <c r="D27" s="188">
        <f>C24*100/(I24)</f>
        <v>209.09090909090909</v>
      </c>
      <c r="E27" s="61" t="s">
        <v>116</v>
      </c>
      <c r="F27" s="61"/>
      <c r="G27" s="61"/>
      <c r="H27" s="61"/>
      <c r="I27" s="75"/>
    </row>
    <row r="28" spans="1:9">
      <c r="B28" s="187" t="s">
        <v>118</v>
      </c>
      <c r="C28" s="61"/>
      <c r="D28" s="188">
        <f>F24*100/I24</f>
        <v>145.45454545454547</v>
      </c>
      <c r="E28" s="61" t="s">
        <v>116</v>
      </c>
    </row>
    <row r="29" spans="1:9">
      <c r="B29" s="187" t="s">
        <v>119</v>
      </c>
      <c r="D29" s="188">
        <f>G24*100/I24</f>
        <v>89.090909090909093</v>
      </c>
      <c r="E29" s="61" t="s">
        <v>116</v>
      </c>
    </row>
    <row r="30" spans="1:9">
      <c r="B30" s="187" t="s">
        <v>120</v>
      </c>
      <c r="D30" s="188">
        <f>H24*100/I24</f>
        <v>1.8181818181818181</v>
      </c>
      <c r="E30" s="61" t="s">
        <v>116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Function1!A1" display="Function1" xr:uid="{C4453EC8-BD41-40A7-AF95-261326441F2E}"/>
    <hyperlink ref="B13" location="Function2!A1" display="Function2" xr:uid="{9B7DECDF-E7C6-4667-BD36-E4BDB65970ED}"/>
    <hyperlink ref="B14" location="Function2!A1" display="Function2" xr:uid="{813BF23E-3645-475E-962E-341F45C5AFFC}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9B3F-854E-4021-ADD4-20F750737B63}">
  <dimension ref="A1:W49"/>
  <sheetViews>
    <sheetView workbookViewId="0">
      <selection activeCell="X10" sqref="X10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11" width="2.85546875" style="78" bestFit="1" customWidth="1"/>
    <col min="12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3" ht="13.5" customHeight="1" thickBot="1">
      <c r="A1" s="76"/>
      <c r="B1" s="77"/>
    </row>
    <row r="2" spans="1:23" ht="13.5" customHeight="1">
      <c r="A2" s="367" t="s">
        <v>121</v>
      </c>
      <c r="B2" s="368"/>
      <c r="C2" s="369">
        <f>Functions!E11</f>
        <v>0</v>
      </c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Functions!D11</f>
        <v>registerWoodworker</v>
      </c>
      <c r="M2" s="375"/>
      <c r="N2" s="375"/>
      <c r="O2" s="375"/>
      <c r="P2" s="375"/>
      <c r="Q2" s="375"/>
      <c r="R2" s="375"/>
      <c r="S2" s="375"/>
      <c r="T2" s="376"/>
      <c r="V2" s="80"/>
    </row>
    <row r="3" spans="1:23" ht="13.5" customHeight="1">
      <c r="A3" s="355" t="s">
        <v>122</v>
      </c>
      <c r="B3" s="356"/>
      <c r="C3" s="377" t="s">
        <v>123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/>
      <c r="M3" s="378"/>
      <c r="N3" s="378"/>
      <c r="O3" s="178"/>
      <c r="P3" s="178"/>
      <c r="Q3" s="178"/>
      <c r="R3" s="178"/>
      <c r="S3" s="178"/>
      <c r="T3" s="179"/>
    </row>
    <row r="4" spans="1:23" ht="13.5" customHeight="1">
      <c r="A4" s="355" t="s">
        <v>125</v>
      </c>
      <c r="B4" s="356"/>
      <c r="C4" s="357">
        <v>100</v>
      </c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O7),"N/A")</f>
        <v>-5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3" ht="13.5" customHeight="1">
      <c r="A5" s="355" t="s">
        <v>127</v>
      </c>
      <c r="B5" s="356"/>
      <c r="C5" s="365" t="s">
        <v>128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3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3" ht="13.5" customHeight="1" thickBot="1">
      <c r="A7" s="345">
        <f>COUNTIF(F47:HQ47,"P")</f>
        <v>0</v>
      </c>
      <c r="B7" s="346"/>
      <c r="C7" s="347">
        <f>COUNTIF(F47:HQ47,"F")</f>
        <v>0</v>
      </c>
      <c r="D7" s="348"/>
      <c r="E7" s="346"/>
      <c r="F7" s="347">
        <f>SUM(O7,- A7,- C7)</f>
        <v>15</v>
      </c>
      <c r="G7" s="348"/>
      <c r="H7" s="348"/>
      <c r="I7" s="348"/>
      <c r="J7" s="348"/>
      <c r="K7" s="349"/>
      <c r="L7" s="180">
        <f>COUNTIF(E46:HQ46,"N")</f>
        <v>0</v>
      </c>
      <c r="M7" s="180">
        <f>COUNTIF(E46:HQ46,"A")</f>
        <v>0</v>
      </c>
      <c r="N7" s="180">
        <f>COUNTIF(E46:HQ46,"B")</f>
        <v>0</v>
      </c>
      <c r="O7" s="350">
        <f>COUNTA(E9:HT9)</f>
        <v>15</v>
      </c>
      <c r="P7" s="348"/>
      <c r="Q7" s="348"/>
      <c r="R7" s="348"/>
      <c r="S7" s="348"/>
      <c r="T7" s="351"/>
      <c r="U7" s="81"/>
    </row>
    <row r="8" spans="1:23" ht="11.25" thickBot="1"/>
    <row r="9" spans="1:23" ht="45" customHeight="1" thickTop="1" thickBot="1">
      <c r="A9" s="223"/>
      <c r="B9" s="197"/>
      <c r="C9" s="198"/>
      <c r="D9" s="199"/>
      <c r="E9" s="198"/>
      <c r="F9" s="200" t="s">
        <v>130</v>
      </c>
      <c r="G9" s="200" t="s">
        <v>131</v>
      </c>
      <c r="H9" s="200" t="s">
        <v>131</v>
      </c>
      <c r="I9" s="200" t="s">
        <v>131</v>
      </c>
      <c r="J9" s="200" t="s">
        <v>131</v>
      </c>
      <c r="K9" s="200" t="s">
        <v>131</v>
      </c>
      <c r="L9" s="200" t="s">
        <v>132</v>
      </c>
      <c r="M9" s="200" t="s">
        <v>133</v>
      </c>
      <c r="N9" s="200" t="s">
        <v>134</v>
      </c>
      <c r="O9" s="200" t="s">
        <v>135</v>
      </c>
      <c r="P9" s="200" t="s">
        <v>136</v>
      </c>
      <c r="Q9" s="200" t="s">
        <v>137</v>
      </c>
      <c r="R9" s="200" t="s">
        <v>138</v>
      </c>
      <c r="S9" s="200" t="s">
        <v>139</v>
      </c>
      <c r="T9" s="201" t="s">
        <v>140</v>
      </c>
      <c r="U9" s="83"/>
      <c r="V9" s="84"/>
      <c r="W9" s="85"/>
    </row>
    <row r="10" spans="1:23" ht="13.5" customHeight="1">
      <c r="A10" s="217" t="s">
        <v>141</v>
      </c>
      <c r="B10" s="86" t="s">
        <v>142</v>
      </c>
      <c r="C10" s="87"/>
      <c r="D10" s="88"/>
      <c r="E10" s="89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228"/>
    </row>
    <row r="11" spans="1:23" ht="13.5" customHeight="1">
      <c r="A11" s="203"/>
      <c r="B11" s="86"/>
      <c r="C11" s="87"/>
      <c r="D11" s="88"/>
      <c r="E11" s="91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228"/>
      <c r="V11" s="80"/>
    </row>
    <row r="12" spans="1:23" ht="13.5" customHeight="1">
      <c r="A12" s="203"/>
      <c r="B12" s="86"/>
      <c r="C12" s="87"/>
      <c r="D12" s="88"/>
      <c r="E12" s="91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228"/>
    </row>
    <row r="13" spans="1:23" ht="13.5" customHeight="1">
      <c r="A13" s="203"/>
      <c r="B13" s="86"/>
      <c r="C13" s="87"/>
      <c r="D13" s="88"/>
      <c r="E13" s="92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228"/>
    </row>
    <row r="14" spans="1:23" ht="13.5" customHeight="1">
      <c r="A14" s="203"/>
      <c r="B14" s="86" t="s">
        <v>143</v>
      </c>
      <c r="C14" s="87"/>
      <c r="D14" s="88"/>
      <c r="E14" s="93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228"/>
    </row>
    <row r="15" spans="1:23" ht="13.5" customHeight="1">
      <c r="A15" s="203"/>
      <c r="B15" s="86"/>
      <c r="C15" s="87"/>
      <c r="D15" s="88">
        <v>-2</v>
      </c>
      <c r="E15" s="93"/>
      <c r="F15" s="90" t="s">
        <v>144</v>
      </c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228"/>
    </row>
    <row r="16" spans="1:23" ht="13.5" customHeight="1">
      <c r="A16" s="203"/>
      <c r="B16" s="86"/>
      <c r="C16" s="87"/>
      <c r="D16" s="88">
        <v>-1</v>
      </c>
      <c r="E16" s="93"/>
      <c r="F16" s="90"/>
      <c r="G16" s="90"/>
      <c r="H16" s="90"/>
      <c r="I16" s="90"/>
      <c r="J16" s="90"/>
      <c r="K16" s="90"/>
      <c r="L16" s="90" t="s">
        <v>144</v>
      </c>
      <c r="M16" s="90"/>
      <c r="N16" s="90"/>
      <c r="O16" s="90"/>
      <c r="P16" s="90"/>
      <c r="Q16" s="90"/>
      <c r="R16" s="90"/>
      <c r="S16" s="90"/>
      <c r="T16" s="228"/>
    </row>
    <row r="17" spans="1:21" ht="13.5" customHeight="1">
      <c r="A17" s="203"/>
      <c r="B17" s="86"/>
      <c r="C17" s="87"/>
      <c r="D17" s="88">
        <v>0</v>
      </c>
      <c r="E17" s="93"/>
      <c r="F17" s="90"/>
      <c r="G17" s="90" t="s">
        <v>144</v>
      </c>
      <c r="H17" s="90" t="s">
        <v>144</v>
      </c>
      <c r="I17" s="90" t="s">
        <v>144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228"/>
      <c r="U17" s="94"/>
    </row>
    <row r="18" spans="1:21" ht="13.5" customHeight="1">
      <c r="A18" s="203"/>
      <c r="B18" s="86"/>
      <c r="C18" s="87"/>
      <c r="D18" s="88">
        <v>1</v>
      </c>
      <c r="E18" s="93"/>
      <c r="F18" s="90"/>
      <c r="G18" s="90"/>
      <c r="H18" s="90"/>
      <c r="I18" s="90"/>
      <c r="J18" s="90" t="s">
        <v>144</v>
      </c>
      <c r="K18" s="90" t="s">
        <v>144</v>
      </c>
      <c r="L18" s="90"/>
      <c r="M18" s="90"/>
      <c r="N18" s="90"/>
      <c r="O18" s="90"/>
      <c r="P18" s="90"/>
      <c r="Q18" s="90"/>
      <c r="R18" s="90"/>
      <c r="S18" s="90"/>
      <c r="T18" s="228"/>
      <c r="U18" s="94"/>
    </row>
    <row r="19" spans="1:21" ht="13.5" customHeight="1">
      <c r="A19" s="203"/>
      <c r="B19" s="86" t="s">
        <v>145</v>
      </c>
      <c r="C19" s="87"/>
      <c r="D19" s="88"/>
      <c r="E19" s="93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228"/>
      <c r="U19" s="94"/>
    </row>
    <row r="20" spans="1:21" ht="13.5" customHeight="1">
      <c r="A20" s="203"/>
      <c r="B20" s="86"/>
      <c r="C20" s="87"/>
      <c r="D20" s="336">
        <v>0</v>
      </c>
      <c r="E20" s="336"/>
      <c r="F20" s="90"/>
      <c r="G20" s="90" t="s">
        <v>144</v>
      </c>
      <c r="H20" s="90" t="s">
        <v>144</v>
      </c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228"/>
    </row>
    <row r="21" spans="1:21" ht="13.5" customHeight="1">
      <c r="A21" s="203"/>
      <c r="B21" s="86"/>
      <c r="C21" s="87"/>
      <c r="D21" s="88">
        <v>-2</v>
      </c>
      <c r="E21" s="93"/>
      <c r="F21" s="90"/>
      <c r="G21" s="90"/>
      <c r="H21" s="90"/>
      <c r="I21" s="90"/>
      <c r="J21" s="90" t="s">
        <v>144</v>
      </c>
      <c r="K21" s="90" t="s">
        <v>144</v>
      </c>
      <c r="L21" s="90" t="s">
        <v>144</v>
      </c>
      <c r="M21" s="90"/>
      <c r="N21" s="90"/>
      <c r="O21" s="90"/>
      <c r="P21" s="90"/>
      <c r="Q21" s="90"/>
      <c r="R21" s="90"/>
      <c r="S21" s="90"/>
      <c r="T21" s="228"/>
    </row>
    <row r="22" spans="1:21" ht="13.5" customHeight="1">
      <c r="A22" s="203"/>
      <c r="B22" s="86"/>
      <c r="C22" s="87"/>
      <c r="D22" s="88">
        <v>2</v>
      </c>
      <c r="E22" s="93"/>
      <c r="F22" s="90"/>
      <c r="G22" s="90"/>
      <c r="H22" s="90"/>
      <c r="I22" s="90" t="s">
        <v>144</v>
      </c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228"/>
    </row>
    <row r="23" spans="1:21" ht="13.5" customHeight="1">
      <c r="A23" s="203"/>
      <c r="B23" s="86" t="s">
        <v>146</v>
      </c>
      <c r="C23" s="87"/>
      <c r="D23" s="88"/>
      <c r="E23" s="93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228"/>
    </row>
    <row r="24" spans="1:21" ht="13.5" customHeight="1">
      <c r="A24" s="203"/>
      <c r="B24" s="86"/>
      <c r="C24" s="87"/>
      <c r="D24" s="88">
        <v>0</v>
      </c>
      <c r="E24" s="93"/>
      <c r="F24" s="90"/>
      <c r="G24" s="90" t="s">
        <v>144</v>
      </c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228"/>
    </row>
    <row r="25" spans="1:21" ht="13.5" customHeight="1">
      <c r="A25" s="203"/>
      <c r="B25" s="86"/>
      <c r="C25" s="87"/>
      <c r="D25" s="88">
        <v>1</v>
      </c>
      <c r="E25" s="93"/>
      <c r="F25" s="90"/>
      <c r="G25" s="90"/>
      <c r="H25" s="90" t="s">
        <v>144</v>
      </c>
      <c r="I25" s="90" t="s">
        <v>144</v>
      </c>
      <c r="J25" s="90" t="s">
        <v>144</v>
      </c>
      <c r="K25" s="90"/>
      <c r="L25" s="90"/>
      <c r="M25" s="90"/>
      <c r="N25" s="90"/>
      <c r="O25" s="90"/>
      <c r="P25" s="90"/>
      <c r="Q25" s="90"/>
      <c r="R25" s="90"/>
      <c r="S25" s="90"/>
      <c r="T25" s="228"/>
    </row>
    <row r="26" spans="1:21" ht="13.5" customHeight="1">
      <c r="A26" s="203"/>
      <c r="B26" s="86"/>
      <c r="C26" s="87"/>
      <c r="D26" s="88">
        <v>3</v>
      </c>
      <c r="E26" s="93"/>
      <c r="F26" s="90"/>
      <c r="G26" s="90"/>
      <c r="H26" s="90"/>
      <c r="I26" s="90"/>
      <c r="J26" s="90"/>
      <c r="K26" s="90"/>
      <c r="L26" s="90" t="s">
        <v>144</v>
      </c>
      <c r="M26" s="90"/>
      <c r="N26" s="90"/>
      <c r="O26" s="90"/>
      <c r="P26" s="90"/>
      <c r="Q26" s="90"/>
      <c r="R26" s="90"/>
      <c r="S26" s="90"/>
      <c r="T26" s="228"/>
    </row>
    <row r="27" spans="1:21" ht="13.5" customHeight="1">
      <c r="A27" s="203"/>
      <c r="B27" s="86"/>
      <c r="C27" s="87"/>
      <c r="D27" s="88">
        <v>5</v>
      </c>
      <c r="E27" s="93"/>
      <c r="F27" s="90"/>
      <c r="G27" s="90"/>
      <c r="H27" s="90"/>
      <c r="I27" s="90"/>
      <c r="J27" s="90"/>
      <c r="K27" s="90" t="s">
        <v>144</v>
      </c>
      <c r="L27" s="90"/>
      <c r="M27" s="90"/>
      <c r="N27" s="90"/>
      <c r="O27" s="90"/>
      <c r="P27" s="90"/>
      <c r="Q27" s="90"/>
      <c r="R27" s="90"/>
      <c r="S27" s="90"/>
      <c r="T27" s="228"/>
    </row>
    <row r="28" spans="1:21" ht="13.5" customHeight="1">
      <c r="A28" s="203"/>
      <c r="B28" s="86"/>
      <c r="C28" s="87"/>
      <c r="D28" s="88"/>
      <c r="E28" s="93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228"/>
    </row>
    <row r="29" spans="1:21" ht="13.5" customHeight="1">
      <c r="A29" s="203"/>
      <c r="B29" s="86"/>
      <c r="C29" s="87"/>
      <c r="D29" s="88"/>
      <c r="E29" s="93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228"/>
    </row>
    <row r="30" spans="1:21" ht="13.5" customHeight="1">
      <c r="A30" s="203"/>
      <c r="B30" s="86"/>
      <c r="C30" s="87"/>
      <c r="D30" s="88"/>
      <c r="E30" s="93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228"/>
    </row>
    <row r="31" spans="1:21" ht="13.5" customHeight="1">
      <c r="A31" s="203"/>
      <c r="B31" s="86"/>
      <c r="C31" s="87"/>
      <c r="D31" s="88"/>
      <c r="E31" s="93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228"/>
    </row>
    <row r="32" spans="1:21" ht="13.5" customHeight="1" thickBot="1">
      <c r="A32" s="203"/>
      <c r="B32" s="95"/>
      <c r="C32" s="96"/>
      <c r="D32" s="97"/>
      <c r="E32" s="98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229"/>
    </row>
    <row r="33" spans="1:20" ht="13.5" customHeight="1" thickTop="1">
      <c r="A33" s="216" t="s">
        <v>147</v>
      </c>
      <c r="B33" s="100" t="s">
        <v>148</v>
      </c>
      <c r="C33" s="101"/>
      <c r="D33" s="102"/>
      <c r="E33" s="103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230"/>
    </row>
    <row r="34" spans="1:20" ht="13.5" customHeight="1">
      <c r="A34" s="215"/>
      <c r="B34" s="150" t="s">
        <v>149</v>
      </c>
      <c r="C34" s="106"/>
      <c r="D34" s="107"/>
      <c r="E34" s="108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228"/>
    </row>
    <row r="35" spans="1:20" ht="13.5" customHeight="1">
      <c r="A35" s="215"/>
      <c r="B35" s="150"/>
      <c r="C35" s="106"/>
      <c r="D35" s="107" t="s">
        <v>150</v>
      </c>
      <c r="E35" s="108"/>
      <c r="F35" s="90" t="s">
        <v>144</v>
      </c>
      <c r="G35" s="90"/>
      <c r="H35" s="90" t="s">
        <v>144</v>
      </c>
      <c r="I35" s="90"/>
      <c r="J35" s="90"/>
      <c r="K35" s="90" t="s">
        <v>144</v>
      </c>
      <c r="L35" s="90"/>
      <c r="M35" s="90"/>
      <c r="N35" s="90"/>
      <c r="O35" s="90"/>
      <c r="P35" s="90"/>
      <c r="Q35" s="90"/>
      <c r="R35" s="90"/>
      <c r="S35" s="90"/>
      <c r="T35" s="228"/>
    </row>
    <row r="36" spans="1:20" ht="13.5" customHeight="1">
      <c r="A36" s="215"/>
      <c r="B36" s="150"/>
      <c r="C36" s="106"/>
      <c r="D36" s="107" t="s">
        <v>151</v>
      </c>
      <c r="E36" s="108"/>
      <c r="F36" s="90"/>
      <c r="G36" s="90" t="s">
        <v>144</v>
      </c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228"/>
    </row>
    <row r="37" spans="1:20" ht="13.5" customHeight="1">
      <c r="A37" s="215"/>
      <c r="B37" s="150"/>
      <c r="C37" s="106"/>
      <c r="D37" s="107" t="s">
        <v>152</v>
      </c>
      <c r="E37" s="108"/>
      <c r="F37" s="90"/>
      <c r="G37" s="90"/>
      <c r="H37" s="90"/>
      <c r="I37" s="90" t="s">
        <v>144</v>
      </c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228"/>
    </row>
    <row r="38" spans="1:20" ht="13.5" customHeight="1">
      <c r="A38" s="215"/>
      <c r="B38" s="150"/>
      <c r="C38" s="106"/>
      <c r="D38" s="107" t="s">
        <v>153</v>
      </c>
      <c r="E38" s="108"/>
      <c r="F38" s="90"/>
      <c r="G38" s="90"/>
      <c r="H38" s="90"/>
      <c r="I38" s="90"/>
      <c r="J38" s="90" t="s">
        <v>144</v>
      </c>
      <c r="K38" s="90"/>
      <c r="L38" s="90"/>
      <c r="M38" s="90"/>
      <c r="N38" s="90"/>
      <c r="O38" s="90"/>
      <c r="P38" s="90"/>
      <c r="Q38" s="90"/>
      <c r="R38" s="90"/>
      <c r="S38" s="90"/>
      <c r="T38" s="228"/>
    </row>
    <row r="39" spans="1:20" ht="13.5" customHeight="1">
      <c r="A39" s="215"/>
      <c r="B39" s="105"/>
      <c r="C39" s="109"/>
      <c r="D39" s="107" t="s">
        <v>154</v>
      </c>
      <c r="E39" s="110"/>
      <c r="F39" s="90"/>
      <c r="G39" s="90"/>
      <c r="H39" s="90"/>
      <c r="I39" s="90"/>
      <c r="J39" s="90"/>
      <c r="K39" s="90"/>
      <c r="L39" s="90" t="s">
        <v>144</v>
      </c>
      <c r="M39" s="90"/>
      <c r="N39" s="90"/>
      <c r="O39" s="90"/>
      <c r="P39" s="90"/>
      <c r="Q39" s="90"/>
      <c r="R39" s="90"/>
      <c r="S39" s="90"/>
      <c r="T39" s="228"/>
    </row>
    <row r="40" spans="1:20" ht="13.5" customHeight="1">
      <c r="A40" s="215"/>
      <c r="B40" s="105" t="s">
        <v>155</v>
      </c>
      <c r="C40" s="109"/>
      <c r="D40" s="107"/>
      <c r="E40" s="11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228"/>
    </row>
    <row r="41" spans="1:20" ht="13.5" customHeight="1">
      <c r="A41" s="215"/>
      <c r="B41" s="105"/>
      <c r="C41" s="109"/>
      <c r="D41" s="107"/>
      <c r="E41" s="11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228"/>
    </row>
    <row r="42" spans="1:20" ht="13.5" customHeight="1">
      <c r="A42" s="215"/>
      <c r="B42" s="105" t="s">
        <v>156</v>
      </c>
      <c r="C42" s="109"/>
      <c r="D42" s="107"/>
      <c r="E42" s="11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228"/>
    </row>
    <row r="43" spans="1:20" ht="13.5" customHeight="1">
      <c r="A43" s="215"/>
      <c r="B43" s="105"/>
      <c r="C43" s="109"/>
      <c r="D43" s="107" t="s">
        <v>157</v>
      </c>
      <c r="E43" s="110"/>
      <c r="F43" s="90" t="s">
        <v>144</v>
      </c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228"/>
    </row>
    <row r="44" spans="1:20" ht="13.5" customHeight="1" thickBot="1">
      <c r="A44" s="215"/>
      <c r="B44" s="190"/>
      <c r="C44" s="191"/>
      <c r="D44" s="192"/>
      <c r="E44" s="193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31"/>
    </row>
    <row r="45" spans="1:20" ht="13.5" customHeight="1" thickTop="1">
      <c r="A45" s="216" t="s">
        <v>158</v>
      </c>
      <c r="B45" s="337" t="s">
        <v>159</v>
      </c>
      <c r="C45" s="337"/>
      <c r="D45" s="337"/>
      <c r="E45" s="306"/>
      <c r="F45" s="222" t="s">
        <v>62</v>
      </c>
      <c r="G45" s="222" t="s">
        <v>111</v>
      </c>
      <c r="H45" s="222" t="s">
        <v>111</v>
      </c>
      <c r="I45" s="222" t="s">
        <v>111</v>
      </c>
      <c r="J45" s="222" t="s">
        <v>111</v>
      </c>
      <c r="K45" s="222" t="s">
        <v>111</v>
      </c>
      <c r="L45" s="222" t="s">
        <v>112</v>
      </c>
      <c r="M45" s="222"/>
      <c r="N45" s="222"/>
      <c r="O45" s="222"/>
      <c r="P45" s="222"/>
      <c r="Q45" s="222"/>
      <c r="R45" s="222"/>
      <c r="S45" s="222"/>
      <c r="T45" s="232"/>
    </row>
    <row r="46" spans="1:20" ht="13.5" customHeight="1">
      <c r="A46" s="208"/>
      <c r="B46" s="338" t="s">
        <v>160</v>
      </c>
      <c r="C46" s="338"/>
      <c r="D46" s="338"/>
      <c r="E46" s="112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233"/>
    </row>
    <row r="47" spans="1:20" ht="13.5" customHeight="1">
      <c r="A47" s="208"/>
      <c r="B47" s="339" t="s">
        <v>161</v>
      </c>
      <c r="C47" s="339"/>
      <c r="D47" s="339"/>
      <c r="E47" s="113"/>
      <c r="F47" s="114">
        <v>39139</v>
      </c>
      <c r="G47" s="114">
        <v>39139</v>
      </c>
      <c r="H47" s="114">
        <v>39139</v>
      </c>
      <c r="I47" s="114">
        <v>39139</v>
      </c>
      <c r="J47" s="114">
        <v>39139</v>
      </c>
      <c r="K47" s="114">
        <v>39139</v>
      </c>
      <c r="L47" s="114">
        <v>39144</v>
      </c>
      <c r="M47" s="114"/>
      <c r="N47" s="114"/>
      <c r="O47" s="114"/>
      <c r="P47" s="114"/>
      <c r="Q47" s="114"/>
      <c r="R47" s="114"/>
      <c r="S47" s="114"/>
      <c r="T47" s="210"/>
    </row>
    <row r="48" spans="1:20" ht="11.25" thickBot="1">
      <c r="A48" s="211"/>
      <c r="B48" s="335" t="s">
        <v>162</v>
      </c>
      <c r="C48" s="335"/>
      <c r="D48" s="335"/>
      <c r="E48" s="212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4"/>
    </row>
    <row r="49" spans="1:4" ht="11.25" thickTop="1">
      <c r="A49" s="82"/>
      <c r="B49" s="78"/>
      <c r="C49" s="79"/>
      <c r="D49" s="78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F6:K6"/>
    <mergeCell ref="L6:N6"/>
    <mergeCell ref="O6:T6"/>
    <mergeCell ref="A7:B7"/>
    <mergeCell ref="C7:E7"/>
    <mergeCell ref="F7:K7"/>
    <mergeCell ref="O7:T7"/>
    <mergeCell ref="A6:B6"/>
    <mergeCell ref="C6:E6"/>
    <mergeCell ref="B48:D48"/>
    <mergeCell ref="D20:E20"/>
    <mergeCell ref="B45:D45"/>
    <mergeCell ref="B46:D46"/>
    <mergeCell ref="B47:D47"/>
  </mergeCells>
  <phoneticPr fontId="44"/>
  <dataValidations count="3">
    <dataValidation type="list" allowBlank="1" showInputMessage="1" showErrorMessage="1" sqref="F46:T46" xr:uid="{BB2150CE-9062-4F33-AEDD-3DAA47814DAB}">
      <formula1>"P,F, "</formula1>
    </dataValidation>
    <dataValidation type="list" allowBlank="1" showInputMessage="1" showErrorMessage="1" sqref="F45:T45" xr:uid="{FCA01754-01A8-4352-B053-026546597B65}">
      <formula1>"N,A,B, "</formula1>
    </dataValidation>
    <dataValidation type="list" allowBlank="1" showInputMessage="1" showErrorMessage="1" sqref="F10:T44" xr:uid="{B7AA3297-A70B-4E32-ADBF-FF0D592F3695}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F5EC-78AF-4A4B-96FA-D3C68A6C9242}">
  <dimension ref="A1:V72"/>
  <sheetViews>
    <sheetView tabSelected="1" workbookViewId="0">
      <pane ySplit="9" topLeftCell="A70" activePane="bottomLeft" state="frozen"/>
      <selection pane="bottomLeft" activeCell="T9" sqref="T9:T72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8.5703125" style="78" customWidth="1"/>
    <col min="4" max="4" width="30.7109375" style="283" customWidth="1"/>
    <col min="5" max="5" width="1.85546875" style="78" hidden="1" customWidth="1"/>
    <col min="6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2" ht="13.5" customHeight="1">
      <c r="A1" s="76"/>
      <c r="B1" s="77"/>
    </row>
    <row r="2" spans="1:22" ht="13.5" customHeight="1">
      <c r="A2" s="367" t="s">
        <v>121</v>
      </c>
      <c r="B2" s="368"/>
      <c r="C2" s="369"/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Functions!D11</f>
        <v>registerWoodworker</v>
      </c>
      <c r="M2" s="375"/>
      <c r="N2" s="375"/>
      <c r="O2" s="375"/>
      <c r="P2" s="375"/>
      <c r="Q2" s="375"/>
      <c r="R2" s="375"/>
      <c r="S2" s="375"/>
      <c r="T2" s="376"/>
      <c r="V2" s="80"/>
    </row>
    <row r="3" spans="1:22" ht="13.5" customHeight="1">
      <c r="A3" s="355" t="s">
        <v>122</v>
      </c>
      <c r="B3" s="356"/>
      <c r="C3" s="377" t="s">
        <v>163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 t="s">
        <v>163</v>
      </c>
      <c r="M3" s="378"/>
      <c r="N3" s="378"/>
      <c r="O3" s="178"/>
      <c r="P3" s="178"/>
      <c r="Q3" s="178"/>
      <c r="R3" s="178"/>
      <c r="S3" s="178"/>
      <c r="T3" s="179"/>
    </row>
    <row r="4" spans="1:22" ht="13.5" customHeight="1">
      <c r="A4" s="355" t="s">
        <v>125</v>
      </c>
      <c r="B4" s="356"/>
      <c r="C4" s="357">
        <v>100</v>
      </c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O7),"N/A")</f>
        <v>-4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2" ht="13.5" customHeight="1">
      <c r="A5" s="355" t="s">
        <v>127</v>
      </c>
      <c r="B5" s="356"/>
      <c r="C5" s="365" t="s">
        <v>128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2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2" ht="13.5" customHeight="1">
      <c r="A7" s="345">
        <f>COUNTIF(F70:HP70,"P")</f>
        <v>11</v>
      </c>
      <c r="B7" s="346"/>
      <c r="C7" s="347">
        <f>COUNTIF(F70:HP70,"F")</f>
        <v>3</v>
      </c>
      <c r="D7" s="348"/>
      <c r="E7" s="346"/>
      <c r="F7" s="347">
        <f>SUM(O7,- A7,- C7)</f>
        <v>0</v>
      </c>
      <c r="G7" s="348"/>
      <c r="H7" s="348"/>
      <c r="I7" s="348"/>
      <c r="J7" s="348"/>
      <c r="K7" s="349"/>
      <c r="L7" s="180">
        <f>COUNTIF(E69:HP69,"N")</f>
        <v>10</v>
      </c>
      <c r="M7" s="180">
        <f>COUNTIF(E69:HP69,"A")</f>
        <v>3</v>
      </c>
      <c r="N7" s="180">
        <f>COUNTIF(E69:HP69,"B")</f>
        <v>1</v>
      </c>
      <c r="O7" s="350">
        <f>COUNTA(E9:HS9)</f>
        <v>14</v>
      </c>
      <c r="P7" s="348"/>
      <c r="Q7" s="348"/>
      <c r="R7" s="348"/>
      <c r="S7" s="348"/>
      <c r="T7" s="351"/>
      <c r="U7" s="81"/>
    </row>
    <row r="8" spans="1:22" ht="10.5"/>
    <row r="9" spans="1:22" ht="46.5" customHeight="1">
      <c r="A9" s="235"/>
      <c r="B9" s="236"/>
      <c r="C9" s="237"/>
      <c r="D9" s="284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239" t="s">
        <v>136</v>
      </c>
      <c r="Q9" s="239" t="s">
        <v>137</v>
      </c>
      <c r="R9" s="239" t="s">
        <v>138</v>
      </c>
      <c r="S9" s="239" t="s">
        <v>139</v>
      </c>
      <c r="T9" s="83"/>
      <c r="U9" s="84"/>
      <c r="V9" s="85"/>
    </row>
    <row r="10" spans="1:22" ht="13.5" customHeight="1">
      <c r="A10" s="217" t="s">
        <v>141</v>
      </c>
      <c r="B10" s="218" t="s">
        <v>168</v>
      </c>
      <c r="C10" s="219"/>
      <c r="D10" s="285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</row>
    <row r="11" spans="1:22" ht="13.5" customHeight="1">
      <c r="A11" s="203"/>
      <c r="B11" s="86"/>
      <c r="C11" s="87"/>
      <c r="D11" s="282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U11" s="80"/>
    </row>
    <row r="12" spans="1:22" ht="13.5" customHeight="1">
      <c r="A12" s="203"/>
      <c r="B12" s="86"/>
      <c r="C12" s="87"/>
      <c r="D12" s="282" t="s">
        <v>170</v>
      </c>
      <c r="E12" s="91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</row>
    <row r="13" spans="1:22" ht="13.5" customHeight="1">
      <c r="A13" s="203"/>
      <c r="B13" s="86" t="s">
        <v>171</v>
      </c>
      <c r="C13" s="87"/>
      <c r="D13" s="282"/>
      <c r="E13" s="93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</row>
    <row r="14" spans="1:22" ht="13.5" customHeight="1">
      <c r="A14" s="203"/>
      <c r="B14" s="86"/>
      <c r="C14" s="87"/>
      <c r="D14" s="282" t="s">
        <v>172</v>
      </c>
      <c r="E14" s="93"/>
      <c r="F14" s="172" t="s">
        <v>144</v>
      </c>
      <c r="H14" s="172"/>
      <c r="I14" s="172" t="s">
        <v>144</v>
      </c>
      <c r="J14" s="172" t="s">
        <v>144</v>
      </c>
      <c r="K14" s="172" t="s">
        <v>144</v>
      </c>
      <c r="L14" s="172" t="s">
        <v>144</v>
      </c>
      <c r="M14" s="172" t="s">
        <v>144</v>
      </c>
      <c r="N14" s="172" t="s">
        <v>144</v>
      </c>
      <c r="O14" s="172" t="s">
        <v>144</v>
      </c>
      <c r="P14" s="172" t="s">
        <v>144</v>
      </c>
      <c r="Q14" s="172" t="s">
        <v>144</v>
      </c>
      <c r="R14" s="172" t="s">
        <v>144</v>
      </c>
      <c r="S14" s="172" t="s">
        <v>144</v>
      </c>
    </row>
    <row r="15" spans="1:22" ht="13.5" customHeight="1">
      <c r="A15" s="203"/>
      <c r="B15" s="86"/>
      <c r="C15" s="87"/>
      <c r="D15" s="282" t="s">
        <v>173</v>
      </c>
      <c r="E15" s="93"/>
      <c r="F15" s="172"/>
      <c r="G15" s="172" t="s">
        <v>144</v>
      </c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</row>
    <row r="16" spans="1:22" ht="13.5" customHeight="1">
      <c r="A16" s="203"/>
      <c r="B16" s="86"/>
      <c r="C16" s="87"/>
      <c r="D16" s="282">
        <v>31</v>
      </c>
      <c r="E16" s="93"/>
      <c r="F16" s="172"/>
      <c r="G16" s="172"/>
      <c r="H16" s="172" t="s">
        <v>144</v>
      </c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3"/>
    </row>
    <row r="17" spans="1:20" ht="13.5" customHeight="1">
      <c r="A17" s="203"/>
      <c r="B17" s="86" t="s">
        <v>174</v>
      </c>
      <c r="C17" s="87"/>
      <c r="D17" s="282"/>
      <c r="E17" s="9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3"/>
    </row>
    <row r="18" spans="1:20" ht="13.5" customHeight="1">
      <c r="A18" s="203"/>
      <c r="B18" s="86"/>
      <c r="C18" s="87"/>
      <c r="D18" s="380" t="s">
        <v>175</v>
      </c>
      <c r="E18" s="336"/>
      <c r="F18" s="172" t="s">
        <v>144</v>
      </c>
      <c r="G18" s="172" t="s">
        <v>144</v>
      </c>
      <c r="H18" s="172" t="s">
        <v>144</v>
      </c>
      <c r="I18" s="172"/>
      <c r="J18" s="172" t="s">
        <v>144</v>
      </c>
      <c r="K18" s="172" t="s">
        <v>144</v>
      </c>
      <c r="L18" s="172" t="s">
        <v>144</v>
      </c>
      <c r="M18" s="172" t="s">
        <v>144</v>
      </c>
      <c r="N18" s="172" t="s">
        <v>144</v>
      </c>
      <c r="O18" s="172" t="s">
        <v>144</v>
      </c>
      <c r="P18" s="172" t="s">
        <v>144</v>
      </c>
      <c r="Q18" s="172" t="s">
        <v>144</v>
      </c>
      <c r="R18" s="172" t="s">
        <v>144</v>
      </c>
      <c r="S18" s="172" t="s">
        <v>144</v>
      </c>
    </row>
    <row r="19" spans="1:20" ht="13.5" customHeight="1">
      <c r="A19" s="203"/>
      <c r="B19" s="86"/>
      <c r="C19" s="87"/>
      <c r="D19" s="282">
        <v>3</v>
      </c>
      <c r="E19" s="93"/>
      <c r="F19" s="172"/>
      <c r="H19" s="172"/>
      <c r="I19" s="172" t="s">
        <v>144</v>
      </c>
      <c r="J19" s="172"/>
      <c r="K19" s="172"/>
      <c r="L19" s="172"/>
      <c r="M19" s="172"/>
      <c r="N19" s="172"/>
      <c r="O19" s="172"/>
      <c r="P19" s="172"/>
      <c r="Q19" s="172"/>
      <c r="R19" s="172"/>
      <c r="S19" s="172"/>
    </row>
    <row r="20" spans="1:20" ht="13.5" customHeight="1">
      <c r="A20" s="203"/>
      <c r="B20" s="86" t="s">
        <v>176</v>
      </c>
      <c r="C20" s="87"/>
      <c r="D20" s="282"/>
      <c r="E20" s="93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</row>
    <row r="21" spans="1:20" ht="13.5" customHeight="1">
      <c r="A21" s="203"/>
      <c r="B21" s="86"/>
      <c r="C21" s="87"/>
      <c r="D21" s="282">
        <v>902846869</v>
      </c>
      <c r="E21" s="93"/>
      <c r="F21" s="172" t="s">
        <v>144</v>
      </c>
      <c r="G21" s="172" t="s">
        <v>144</v>
      </c>
      <c r="H21" s="172" t="s">
        <v>144</v>
      </c>
      <c r="I21" s="172" t="s">
        <v>144</v>
      </c>
      <c r="J21" s="172"/>
      <c r="K21" s="172" t="s">
        <v>144</v>
      </c>
      <c r="L21" s="172" t="s">
        <v>144</v>
      </c>
      <c r="M21" s="172" t="s">
        <v>144</v>
      </c>
      <c r="N21" s="172" t="s">
        <v>144</v>
      </c>
      <c r="O21" s="172" t="s">
        <v>144</v>
      </c>
      <c r="P21" s="172" t="s">
        <v>144</v>
      </c>
      <c r="Q21" s="172" t="s">
        <v>144</v>
      </c>
      <c r="R21" s="172" t="s">
        <v>144</v>
      </c>
      <c r="S21" s="172" t="s">
        <v>144</v>
      </c>
    </row>
    <row r="22" spans="1:20" ht="13.5" customHeight="1">
      <c r="A22" s="203"/>
      <c r="B22" s="86"/>
      <c r="C22" s="87"/>
      <c r="D22" s="282">
        <v>2009</v>
      </c>
      <c r="E22" s="93"/>
      <c r="F22" s="172"/>
      <c r="H22" s="172"/>
      <c r="I22" s="172"/>
      <c r="J22" s="172" t="s">
        <v>144</v>
      </c>
      <c r="K22" s="172"/>
      <c r="L22" s="172"/>
      <c r="M22" s="172"/>
      <c r="N22" s="172"/>
      <c r="O22" s="172"/>
      <c r="P22" s="172"/>
      <c r="Q22" s="172"/>
      <c r="R22" s="172"/>
      <c r="S22" s="172"/>
    </row>
    <row r="23" spans="1:20" ht="13.5" customHeight="1">
      <c r="A23" s="203"/>
      <c r="B23" s="86" t="s">
        <v>177</v>
      </c>
      <c r="C23" s="87"/>
      <c r="D23" s="282"/>
      <c r="E23" s="93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</row>
    <row r="24" spans="1:20" ht="13.5" customHeight="1">
      <c r="A24" s="203"/>
      <c r="B24" s="86"/>
      <c r="D24" s="292" t="s">
        <v>178</v>
      </c>
      <c r="E24" s="93"/>
      <c r="F24" s="172" t="s">
        <v>144</v>
      </c>
      <c r="G24" s="172" t="s">
        <v>144</v>
      </c>
      <c r="H24" s="172" t="s">
        <v>144</v>
      </c>
      <c r="I24" s="172" t="s">
        <v>144</v>
      </c>
      <c r="J24" s="172" t="s">
        <v>144</v>
      </c>
      <c r="K24" s="172"/>
      <c r="L24" s="172" t="s">
        <v>144</v>
      </c>
      <c r="M24" s="172" t="s">
        <v>144</v>
      </c>
      <c r="N24" s="172" t="s">
        <v>144</v>
      </c>
      <c r="O24" s="172" t="s">
        <v>144</v>
      </c>
      <c r="P24" s="172" t="s">
        <v>144</v>
      </c>
      <c r="Q24" s="172" t="s">
        <v>144</v>
      </c>
      <c r="R24" s="172" t="s">
        <v>144</v>
      </c>
      <c r="S24" s="172" t="s">
        <v>144</v>
      </c>
    </row>
    <row r="25" spans="1:20" ht="13.5" customHeight="1">
      <c r="A25" s="203"/>
      <c r="B25" s="86"/>
      <c r="C25" s="87"/>
      <c r="D25" s="291" t="s">
        <v>173</v>
      </c>
      <c r="E25" s="93"/>
      <c r="F25" s="172"/>
      <c r="H25" s="172"/>
      <c r="I25" s="172"/>
      <c r="J25" s="172"/>
      <c r="K25" s="172" t="s">
        <v>144</v>
      </c>
      <c r="L25" s="172"/>
      <c r="M25" s="172"/>
      <c r="N25" s="172"/>
      <c r="O25" s="172"/>
      <c r="P25" s="172"/>
      <c r="Q25" s="172"/>
      <c r="R25" s="172"/>
      <c r="S25" s="172"/>
    </row>
    <row r="26" spans="1:20" ht="13.5" customHeight="1">
      <c r="A26" s="203"/>
      <c r="B26" s="86" t="s">
        <v>179</v>
      </c>
      <c r="C26" s="87"/>
      <c r="D26" s="282"/>
      <c r="E26" s="93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</row>
    <row r="27" spans="1:20" ht="13.5" customHeight="1">
      <c r="A27" s="203"/>
      <c r="B27" s="86"/>
      <c r="C27" s="87"/>
      <c r="D27" s="282">
        <v>3026</v>
      </c>
      <c r="E27" s="93"/>
      <c r="F27" s="172" t="s">
        <v>144</v>
      </c>
      <c r="G27" s="172" t="s">
        <v>144</v>
      </c>
      <c r="H27" s="172" t="s">
        <v>144</v>
      </c>
      <c r="I27" s="172" t="s">
        <v>144</v>
      </c>
      <c r="J27" s="172" t="s">
        <v>144</v>
      </c>
      <c r="K27" s="172" t="s">
        <v>144</v>
      </c>
      <c r="L27" s="172"/>
      <c r="M27" s="172" t="s">
        <v>144</v>
      </c>
      <c r="N27" s="172" t="s">
        <v>144</v>
      </c>
      <c r="O27" s="172" t="s">
        <v>144</v>
      </c>
      <c r="P27" s="172" t="s">
        <v>144</v>
      </c>
      <c r="Q27" s="172" t="s">
        <v>144</v>
      </c>
      <c r="R27" s="172" t="s">
        <v>144</v>
      </c>
      <c r="S27" s="172" t="s">
        <v>144</v>
      </c>
    </row>
    <row r="28" spans="1:20" ht="13.5" customHeight="1">
      <c r="A28" s="203"/>
      <c r="B28" s="86"/>
      <c r="C28" s="87"/>
      <c r="D28" s="282" t="s">
        <v>180</v>
      </c>
      <c r="E28" s="93"/>
      <c r="F28" s="172"/>
      <c r="G28" s="172"/>
      <c r="H28" s="172"/>
      <c r="I28" s="172"/>
      <c r="J28" s="172"/>
      <c r="K28" s="172"/>
      <c r="L28" s="172" t="s">
        <v>144</v>
      </c>
      <c r="M28" s="172"/>
      <c r="N28" s="172"/>
      <c r="O28" s="172"/>
      <c r="P28" s="172"/>
      <c r="Q28" s="172"/>
      <c r="R28" s="172"/>
      <c r="S28" s="172"/>
    </row>
    <row r="29" spans="1:20" ht="13.5" customHeight="1">
      <c r="A29" s="203"/>
      <c r="B29" s="86" t="s">
        <v>181</v>
      </c>
      <c r="C29" s="87"/>
      <c r="D29" s="282"/>
      <c r="E29" s="93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</row>
    <row r="30" spans="1:20" ht="13.5" customHeight="1">
      <c r="A30" s="203"/>
      <c r="B30" s="86"/>
      <c r="C30" s="87"/>
      <c r="D30" s="282">
        <v>1425</v>
      </c>
      <c r="E30" s="93"/>
      <c r="F30" s="172" t="s">
        <v>144</v>
      </c>
      <c r="G30" s="172" t="s">
        <v>144</v>
      </c>
      <c r="H30" s="172" t="s">
        <v>144</v>
      </c>
      <c r="I30" s="172" t="s">
        <v>144</v>
      </c>
      <c r="J30" s="172" t="s">
        <v>144</v>
      </c>
      <c r="K30" s="172" t="s">
        <v>144</v>
      </c>
      <c r="L30" s="172" t="s">
        <v>144</v>
      </c>
      <c r="M30" s="172"/>
      <c r="N30" s="172" t="s">
        <v>144</v>
      </c>
      <c r="O30" s="172" t="s">
        <v>144</v>
      </c>
      <c r="P30" s="172" t="s">
        <v>144</v>
      </c>
      <c r="Q30" s="172" t="s">
        <v>144</v>
      </c>
      <c r="R30" s="172" t="s">
        <v>144</v>
      </c>
      <c r="S30" s="172" t="s">
        <v>144</v>
      </c>
    </row>
    <row r="31" spans="1:20" ht="13.5" customHeight="1">
      <c r="A31" s="203"/>
      <c r="B31" s="86"/>
      <c r="C31" s="87"/>
      <c r="D31" s="282" t="s">
        <v>182</v>
      </c>
      <c r="E31" s="93"/>
      <c r="F31" s="172"/>
      <c r="G31" s="172"/>
      <c r="H31" s="172"/>
      <c r="I31" s="172"/>
      <c r="J31" s="172"/>
      <c r="K31" s="172"/>
      <c r="L31" s="172"/>
      <c r="M31" s="172" t="s">
        <v>144</v>
      </c>
      <c r="N31" s="172"/>
      <c r="O31" s="172"/>
      <c r="P31" s="172"/>
      <c r="Q31" s="172"/>
      <c r="R31" s="172"/>
      <c r="S31" s="172"/>
    </row>
    <row r="32" spans="1:20" ht="13.5" customHeight="1">
      <c r="A32" s="203"/>
      <c r="B32" s="86" t="s">
        <v>183</v>
      </c>
      <c r="C32" s="87"/>
      <c r="D32" s="282"/>
      <c r="E32" s="93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</row>
    <row r="33" spans="1:19" ht="13.5" customHeight="1">
      <c r="A33" s="203"/>
      <c r="B33" s="86"/>
      <c r="C33" s="87"/>
      <c r="D33" s="282">
        <v>1489</v>
      </c>
      <c r="E33" s="93"/>
      <c r="F33" s="172" t="s">
        <v>144</v>
      </c>
      <c r="G33" s="172" t="s">
        <v>144</v>
      </c>
      <c r="H33" s="172" t="s">
        <v>144</v>
      </c>
      <c r="I33" s="172" t="s">
        <v>144</v>
      </c>
      <c r="J33" s="172" t="s">
        <v>144</v>
      </c>
      <c r="K33" s="172" t="s">
        <v>144</v>
      </c>
      <c r="L33" s="172" t="s">
        <v>144</v>
      </c>
      <c r="M33" s="172" t="s">
        <v>144</v>
      </c>
      <c r="N33" s="172"/>
      <c r="O33" s="172" t="s">
        <v>144</v>
      </c>
      <c r="P33" s="172" t="s">
        <v>144</v>
      </c>
      <c r="Q33" s="172" t="s">
        <v>144</v>
      </c>
      <c r="R33" s="172" t="s">
        <v>144</v>
      </c>
      <c r="S33" s="172" t="s">
        <v>144</v>
      </c>
    </row>
    <row r="34" spans="1:19" ht="13.5" customHeight="1">
      <c r="A34" s="203"/>
      <c r="B34" s="86"/>
      <c r="C34" s="87"/>
      <c r="D34" s="282" t="s">
        <v>184</v>
      </c>
      <c r="E34" s="93"/>
      <c r="F34" s="172"/>
      <c r="G34" s="172"/>
      <c r="H34" s="172"/>
      <c r="I34" s="172"/>
      <c r="J34" s="172"/>
      <c r="K34" s="172"/>
      <c r="L34" s="172"/>
      <c r="M34" s="172"/>
      <c r="N34" s="172" t="s">
        <v>144</v>
      </c>
      <c r="O34" s="172"/>
      <c r="P34" s="172"/>
      <c r="Q34" s="172"/>
      <c r="R34" s="172"/>
      <c r="S34" s="172"/>
    </row>
    <row r="35" spans="1:19" ht="13.5" customHeight="1">
      <c r="A35" s="203"/>
      <c r="B35" s="86" t="s">
        <v>185</v>
      </c>
      <c r="C35" s="87"/>
      <c r="D35" s="282"/>
      <c r="E35" s="93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</row>
    <row r="36" spans="1:19" ht="13.5" customHeight="1">
      <c r="A36" s="203"/>
      <c r="B36" s="86"/>
      <c r="C36" s="87"/>
      <c r="D36" s="282" t="s">
        <v>186</v>
      </c>
      <c r="E36" s="93"/>
      <c r="F36" s="172" t="s">
        <v>144</v>
      </c>
      <c r="G36" s="172" t="s">
        <v>144</v>
      </c>
      <c r="H36" s="172" t="s">
        <v>144</v>
      </c>
      <c r="I36" s="172" t="s">
        <v>144</v>
      </c>
      <c r="J36" s="172" t="s">
        <v>144</v>
      </c>
      <c r="K36" s="172" t="s">
        <v>144</v>
      </c>
      <c r="L36" s="172" t="s">
        <v>144</v>
      </c>
      <c r="M36" s="172" t="s">
        <v>144</v>
      </c>
      <c r="N36" s="172" t="s">
        <v>144</v>
      </c>
      <c r="O36" s="172"/>
      <c r="P36" s="172" t="s">
        <v>144</v>
      </c>
      <c r="Q36" s="172" t="s">
        <v>144</v>
      </c>
      <c r="R36" s="172" t="s">
        <v>144</v>
      </c>
      <c r="S36" s="172" t="s">
        <v>144</v>
      </c>
    </row>
    <row r="37" spans="1:19" ht="13.5" customHeight="1">
      <c r="A37" s="203"/>
      <c r="B37" s="86"/>
      <c r="C37" s="87"/>
      <c r="D37" s="282" t="s">
        <v>187</v>
      </c>
      <c r="E37" s="93"/>
      <c r="F37" s="172"/>
      <c r="G37" s="172"/>
      <c r="H37" s="172"/>
      <c r="I37" s="172"/>
      <c r="J37" s="172"/>
      <c r="K37" s="172"/>
      <c r="L37" s="172"/>
      <c r="M37" s="172"/>
      <c r="N37" s="172"/>
      <c r="O37" s="172" t="s">
        <v>144</v>
      </c>
      <c r="P37" s="172"/>
      <c r="Q37" s="172"/>
      <c r="R37" s="172"/>
      <c r="S37" s="172"/>
    </row>
    <row r="38" spans="1:19" ht="13.5" customHeight="1">
      <c r="A38" s="203"/>
      <c r="B38" s="279" t="s">
        <v>188</v>
      </c>
      <c r="C38" s="87"/>
      <c r="D38" s="282"/>
      <c r="E38" s="93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</row>
    <row r="39" spans="1:19" ht="15.75" customHeight="1">
      <c r="A39" s="203"/>
      <c r="B39" s="278" t="s">
        <v>188</v>
      </c>
      <c r="C39" s="87"/>
      <c r="D39" s="282">
        <v>11041731</v>
      </c>
      <c r="E39" s="93"/>
      <c r="F39" s="172" t="s">
        <v>144</v>
      </c>
      <c r="G39" s="172" t="s">
        <v>144</v>
      </c>
      <c r="H39" s="172" t="s">
        <v>144</v>
      </c>
      <c r="I39" s="172" t="s">
        <v>144</v>
      </c>
      <c r="J39" s="172" t="s">
        <v>144</v>
      </c>
      <c r="K39" s="172" t="s">
        <v>144</v>
      </c>
      <c r="L39" s="172" t="s">
        <v>144</v>
      </c>
      <c r="M39" s="172" t="s">
        <v>144</v>
      </c>
      <c r="N39" s="172" t="s">
        <v>144</v>
      </c>
      <c r="O39" s="172" t="s">
        <v>144</v>
      </c>
      <c r="P39" s="172"/>
      <c r="Q39" s="172" t="s">
        <v>144</v>
      </c>
      <c r="R39" s="172" t="s">
        <v>144</v>
      </c>
      <c r="S39" s="172" t="s">
        <v>144</v>
      </c>
    </row>
    <row r="40" spans="1:19" ht="13.5" customHeight="1">
      <c r="A40" s="203"/>
      <c r="B40" s="86"/>
      <c r="C40" s="87"/>
      <c r="D40" s="282" t="s">
        <v>189</v>
      </c>
      <c r="E40" s="93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 t="s">
        <v>144</v>
      </c>
      <c r="Q40" s="172"/>
      <c r="R40" s="172"/>
      <c r="S40" s="172"/>
    </row>
    <row r="41" spans="1:19" ht="13.5" customHeight="1">
      <c r="A41" s="203"/>
      <c r="B41" s="86" t="s">
        <v>190</v>
      </c>
      <c r="C41" s="87"/>
      <c r="D41" s="282"/>
      <c r="E41" s="93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</row>
    <row r="42" spans="1:19" ht="13.5" customHeight="1">
      <c r="A42" s="203"/>
      <c r="B42" s="86"/>
      <c r="C42" s="87"/>
      <c r="D42" s="282" t="s">
        <v>191</v>
      </c>
      <c r="E42" s="93"/>
      <c r="F42" s="172" t="s">
        <v>144</v>
      </c>
      <c r="G42" s="172" t="s">
        <v>144</v>
      </c>
      <c r="H42" s="172" t="s">
        <v>144</v>
      </c>
      <c r="I42" s="172" t="s">
        <v>144</v>
      </c>
      <c r="J42" s="172" t="s">
        <v>144</v>
      </c>
      <c r="K42" s="172" t="s">
        <v>144</v>
      </c>
      <c r="L42" s="172" t="s">
        <v>144</v>
      </c>
      <c r="M42" s="172" t="s">
        <v>144</v>
      </c>
      <c r="N42" s="172" t="s">
        <v>144</v>
      </c>
      <c r="O42" s="172" t="s">
        <v>144</v>
      </c>
      <c r="P42" s="172" t="s">
        <v>144</v>
      </c>
      <c r="Q42" s="172"/>
      <c r="R42" s="172" t="s">
        <v>144</v>
      </c>
      <c r="S42" s="172" t="s">
        <v>144</v>
      </c>
    </row>
    <row r="43" spans="1:19" ht="13.5" customHeight="1">
      <c r="A43" s="203"/>
      <c r="B43" s="86"/>
      <c r="C43" s="87"/>
      <c r="D43" s="282" t="s">
        <v>173</v>
      </c>
      <c r="E43" s="93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 t="s">
        <v>144</v>
      </c>
      <c r="R43" s="172"/>
      <c r="S43" s="172"/>
    </row>
    <row r="44" spans="1:19" ht="13.5" customHeight="1">
      <c r="A44" s="203"/>
      <c r="B44" s="86" t="s">
        <v>192</v>
      </c>
      <c r="C44" s="87"/>
      <c r="D44" s="282"/>
      <c r="E44" s="93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</row>
    <row r="45" spans="1:19" ht="13.5" customHeight="1">
      <c r="A45" s="203"/>
      <c r="B45" s="86"/>
      <c r="C45" s="87"/>
      <c r="D45" s="282" t="s">
        <v>193</v>
      </c>
      <c r="E45" s="93"/>
      <c r="F45" s="172" t="s">
        <v>144</v>
      </c>
      <c r="G45" s="172" t="s">
        <v>144</v>
      </c>
      <c r="H45" s="172" t="s">
        <v>144</v>
      </c>
      <c r="I45" s="172" t="s">
        <v>144</v>
      </c>
      <c r="J45" s="172" t="s">
        <v>144</v>
      </c>
      <c r="K45" s="172" t="s">
        <v>144</v>
      </c>
      <c r="L45" s="172" t="s">
        <v>144</v>
      </c>
      <c r="M45" s="172" t="s">
        <v>144</v>
      </c>
      <c r="N45" s="172" t="s">
        <v>144</v>
      </c>
      <c r="O45" s="172" t="s">
        <v>144</v>
      </c>
      <c r="P45" s="172" t="s">
        <v>144</v>
      </c>
      <c r="Q45" s="172" t="s">
        <v>144</v>
      </c>
      <c r="R45" s="172"/>
      <c r="S45" s="172" t="s">
        <v>144</v>
      </c>
    </row>
    <row r="46" spans="1:19" ht="13.5" customHeight="1">
      <c r="A46" s="203"/>
      <c r="B46" s="86"/>
      <c r="C46" s="87"/>
      <c r="D46" s="282" t="s">
        <v>194</v>
      </c>
      <c r="E46" s="93"/>
      <c r="F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 t="s">
        <v>144</v>
      </c>
      <c r="S46" s="172"/>
    </row>
    <row r="47" spans="1:19" ht="13.5" customHeight="1">
      <c r="A47" s="203"/>
      <c r="B47" s="280" t="s">
        <v>195</v>
      </c>
      <c r="C47" s="281"/>
      <c r="D47" s="286"/>
      <c r="E47" s="93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</row>
    <row r="48" spans="1:19" ht="13.5" customHeight="1">
      <c r="A48" s="203"/>
      <c r="B48" s="280"/>
      <c r="C48" s="281"/>
      <c r="D48" s="453" t="s">
        <v>196</v>
      </c>
      <c r="E48" s="93"/>
      <c r="F48" s="172" t="s">
        <v>144</v>
      </c>
      <c r="G48" s="172" t="s">
        <v>144</v>
      </c>
      <c r="H48" s="172" t="s">
        <v>144</v>
      </c>
      <c r="I48" s="172" t="s">
        <v>144</v>
      </c>
      <c r="J48" s="172" t="s">
        <v>144</v>
      </c>
      <c r="K48" s="172" t="s">
        <v>144</v>
      </c>
      <c r="L48" s="172" t="s">
        <v>144</v>
      </c>
      <c r="M48" s="172" t="s">
        <v>144</v>
      </c>
      <c r="N48" s="172" t="s">
        <v>144</v>
      </c>
      <c r="O48" s="172" t="s">
        <v>144</v>
      </c>
      <c r="P48" s="172" t="s">
        <v>144</v>
      </c>
      <c r="Q48" s="172" t="s">
        <v>144</v>
      </c>
      <c r="R48" s="172" t="s">
        <v>144</v>
      </c>
      <c r="S48" s="194"/>
    </row>
    <row r="49" spans="1:19" ht="13.5" customHeight="1">
      <c r="A49" s="203"/>
      <c r="B49" s="95"/>
      <c r="C49" s="96"/>
      <c r="D49" s="287" t="s">
        <v>197</v>
      </c>
      <c r="E49" s="98"/>
      <c r="F49" s="174"/>
      <c r="G49" s="174"/>
      <c r="H49" s="174"/>
      <c r="I49" s="174"/>
      <c r="J49" s="174"/>
      <c r="K49" s="174"/>
      <c r="L49" s="174"/>
      <c r="M49" s="172"/>
      <c r="N49" s="174"/>
      <c r="O49" s="174"/>
      <c r="P49" s="174"/>
      <c r="Q49" s="174"/>
      <c r="R49" s="174"/>
      <c r="S49" s="172" t="s">
        <v>144</v>
      </c>
    </row>
    <row r="50" spans="1:19" ht="13.5" customHeight="1">
      <c r="A50" s="216" t="s">
        <v>147</v>
      </c>
      <c r="B50" s="100" t="s">
        <v>198</v>
      </c>
      <c r="C50" s="101"/>
      <c r="D50" s="288"/>
      <c r="E50" s="103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</row>
    <row r="51" spans="1:19" ht="13.5" customHeight="1">
      <c r="A51" s="215"/>
      <c r="B51" s="105"/>
      <c r="C51" s="106"/>
      <c r="D51" s="289" t="s">
        <v>199</v>
      </c>
      <c r="E51" s="108"/>
      <c r="F51" s="172" t="s">
        <v>144</v>
      </c>
      <c r="G51" s="172" t="s">
        <v>144</v>
      </c>
      <c r="H51" s="172" t="s">
        <v>144</v>
      </c>
      <c r="I51" s="172" t="s">
        <v>144</v>
      </c>
      <c r="J51" s="172" t="s">
        <v>144</v>
      </c>
      <c r="K51" s="172" t="s">
        <v>144</v>
      </c>
      <c r="L51" s="172" t="s">
        <v>144</v>
      </c>
      <c r="M51" s="172"/>
      <c r="N51" s="172"/>
      <c r="O51" s="172"/>
      <c r="P51" s="172"/>
      <c r="Q51" s="172"/>
      <c r="R51" s="172"/>
      <c r="S51" s="172"/>
    </row>
    <row r="52" spans="1:19" ht="13.5" customHeight="1">
      <c r="A52" s="215"/>
      <c r="B52" s="105"/>
      <c r="C52" s="176"/>
      <c r="D52" s="289" t="s">
        <v>200</v>
      </c>
      <c r="E52" s="110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</row>
    <row r="53" spans="1:19" ht="13.5" customHeight="1">
      <c r="A53" s="215"/>
      <c r="B53" s="105" t="s">
        <v>201</v>
      </c>
      <c r="C53" s="176"/>
      <c r="D53" s="289"/>
      <c r="E53" s="110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</row>
    <row r="54" spans="1:19" ht="13.5" customHeight="1">
      <c r="A54" s="215"/>
      <c r="B54" s="105"/>
      <c r="C54" s="176"/>
      <c r="D54" s="289"/>
      <c r="E54" s="110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</row>
    <row r="55" spans="1:19" ht="13.5" customHeight="1">
      <c r="A55" s="215"/>
      <c r="B55" s="105" t="s">
        <v>202</v>
      </c>
      <c r="C55" s="176"/>
      <c r="D55" s="289"/>
      <c r="E55" s="110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</row>
    <row r="56" spans="1:19" ht="13.5" customHeight="1">
      <c r="A56" s="215"/>
      <c r="B56" s="105"/>
      <c r="C56" s="176"/>
      <c r="D56" s="289" t="s">
        <v>203</v>
      </c>
      <c r="E56" s="110"/>
      <c r="F56" s="172"/>
      <c r="G56" s="172" t="s">
        <v>144</v>
      </c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</row>
    <row r="57" spans="1:19" ht="13.5" customHeight="1">
      <c r="A57" s="215"/>
      <c r="B57" s="105"/>
      <c r="C57" s="176"/>
      <c r="D57" s="289" t="s">
        <v>204</v>
      </c>
      <c r="E57" s="110"/>
      <c r="F57" s="172"/>
      <c r="G57" s="172"/>
      <c r="H57" s="172"/>
      <c r="I57" s="172" t="s">
        <v>144</v>
      </c>
      <c r="J57" s="172"/>
      <c r="K57" s="172"/>
      <c r="L57" s="172"/>
      <c r="M57" s="172"/>
      <c r="N57" s="172"/>
      <c r="O57" s="172"/>
      <c r="P57" s="172"/>
      <c r="Q57" s="172"/>
      <c r="R57" s="172"/>
      <c r="S57" s="172"/>
    </row>
    <row r="58" spans="1:19" ht="13.5" customHeight="1">
      <c r="A58" s="215"/>
      <c r="B58" s="105"/>
      <c r="C58" s="176"/>
      <c r="D58" s="289" t="s">
        <v>205</v>
      </c>
      <c r="E58" s="110"/>
      <c r="F58" s="172"/>
      <c r="G58" s="172"/>
      <c r="H58" s="172"/>
      <c r="I58" s="172"/>
      <c r="J58" s="172" t="s">
        <v>144</v>
      </c>
      <c r="K58" s="172"/>
      <c r="L58" s="172"/>
      <c r="M58" s="172"/>
      <c r="N58" s="172"/>
      <c r="O58" s="172"/>
      <c r="P58" s="172"/>
      <c r="Q58" s="172"/>
      <c r="R58" s="172"/>
      <c r="S58" s="172"/>
    </row>
    <row r="59" spans="1:19" ht="13.5" customHeight="1">
      <c r="A59" s="215"/>
      <c r="B59" s="105"/>
      <c r="C59" s="176"/>
      <c r="D59" s="289" t="s">
        <v>206</v>
      </c>
      <c r="E59" s="110"/>
      <c r="F59" s="172"/>
      <c r="G59" s="172"/>
      <c r="H59" s="172"/>
      <c r="I59" s="172"/>
      <c r="J59" s="172"/>
      <c r="K59" s="172" t="s">
        <v>144</v>
      </c>
      <c r="L59" s="172"/>
      <c r="M59" s="172"/>
      <c r="N59" s="172"/>
      <c r="O59" s="172"/>
      <c r="P59" s="172"/>
      <c r="Q59" s="172"/>
      <c r="R59" s="172"/>
      <c r="S59" s="172"/>
    </row>
    <row r="60" spans="1:19" ht="15.75" customHeight="1">
      <c r="A60" s="215"/>
      <c r="B60" s="105"/>
      <c r="C60" s="176"/>
      <c r="D60" s="289" t="s">
        <v>207</v>
      </c>
      <c r="E60" s="110"/>
      <c r="F60" s="172"/>
      <c r="G60" s="172"/>
      <c r="H60" s="172"/>
      <c r="I60" s="172"/>
      <c r="J60" s="172"/>
      <c r="K60" s="172"/>
      <c r="L60" s="172" t="s">
        <v>144</v>
      </c>
      <c r="M60" s="172"/>
      <c r="N60" s="172"/>
      <c r="O60" s="172"/>
      <c r="P60" s="172"/>
      <c r="Q60" s="172"/>
      <c r="R60" s="172"/>
      <c r="S60" s="172"/>
    </row>
    <row r="61" spans="1:19" ht="13.5" customHeight="1">
      <c r="A61" s="215"/>
      <c r="B61" s="105"/>
      <c r="C61" s="176"/>
      <c r="D61" s="289" t="s">
        <v>208</v>
      </c>
      <c r="E61" s="110"/>
      <c r="F61" s="172"/>
      <c r="G61" s="172"/>
      <c r="H61" s="172"/>
      <c r="I61" s="172"/>
      <c r="J61" s="172"/>
      <c r="K61" s="172"/>
      <c r="L61" s="172"/>
      <c r="M61" s="172" t="s">
        <v>144</v>
      </c>
      <c r="N61" s="172"/>
      <c r="O61" s="172"/>
      <c r="P61" s="172"/>
      <c r="Q61" s="172"/>
      <c r="R61" s="172"/>
      <c r="S61" s="172"/>
    </row>
    <row r="62" spans="1:19" ht="13.5" customHeight="1">
      <c r="A62" s="215"/>
      <c r="B62" s="105"/>
      <c r="C62" s="176"/>
      <c r="D62" s="289" t="s">
        <v>209</v>
      </c>
      <c r="E62" s="110"/>
      <c r="F62" s="172"/>
      <c r="G62" s="172"/>
      <c r="H62" s="172"/>
      <c r="I62" s="172"/>
      <c r="J62" s="172"/>
      <c r="K62" s="172"/>
      <c r="L62" s="172"/>
      <c r="M62" s="172"/>
      <c r="N62" s="172" t="s">
        <v>144</v>
      </c>
      <c r="O62" s="172"/>
      <c r="P62" s="172"/>
      <c r="Q62" s="172"/>
      <c r="R62" s="172"/>
      <c r="S62" s="172"/>
    </row>
    <row r="63" spans="1:19" ht="13.5" customHeight="1">
      <c r="A63" s="215"/>
      <c r="B63" s="105"/>
      <c r="C63" s="176"/>
      <c r="D63" s="79" t="s">
        <v>210</v>
      </c>
      <c r="E63" s="110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 t="s">
        <v>144</v>
      </c>
      <c r="S63" s="172"/>
    </row>
    <row r="64" spans="1:19" ht="13.5" customHeight="1">
      <c r="A64" s="215"/>
      <c r="B64" s="105"/>
      <c r="C64" s="176"/>
      <c r="D64" s="289" t="s">
        <v>211</v>
      </c>
      <c r="E64" s="110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 t="s">
        <v>144</v>
      </c>
    </row>
    <row r="65" spans="1:22" ht="13.5" customHeight="1">
      <c r="A65" s="215"/>
      <c r="B65" s="105"/>
      <c r="C65" s="176"/>
      <c r="D65" s="290" t="s">
        <v>212</v>
      </c>
      <c r="E65" s="110"/>
      <c r="F65" s="172"/>
      <c r="G65" s="172"/>
      <c r="H65" s="172"/>
      <c r="I65" s="172"/>
      <c r="J65" s="172"/>
      <c r="K65" s="172"/>
      <c r="L65" s="172"/>
      <c r="M65" s="172"/>
      <c r="N65" s="172"/>
      <c r="O65" s="172" t="s">
        <v>144</v>
      </c>
      <c r="P65" s="172"/>
      <c r="Q65" s="172"/>
      <c r="R65" s="172"/>
      <c r="S65" s="172"/>
    </row>
    <row r="66" spans="1:22" ht="13.5" customHeight="1">
      <c r="A66" s="215"/>
      <c r="B66" s="190"/>
      <c r="C66" s="293"/>
      <c r="D66" s="289" t="s">
        <v>213</v>
      </c>
      <c r="E66" s="294"/>
      <c r="F66" s="194" t="s">
        <v>144</v>
      </c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</row>
    <row r="67" spans="1:22" ht="13.5" customHeight="1">
      <c r="A67" s="215"/>
      <c r="B67" s="190"/>
      <c r="C67" s="293"/>
      <c r="D67" s="79" t="s">
        <v>214</v>
      </c>
      <c r="E67" s="2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 t="s">
        <v>144</v>
      </c>
      <c r="Q67" s="194"/>
      <c r="R67" s="194"/>
      <c r="S67" s="194"/>
    </row>
    <row r="68" spans="1:22" ht="13.5" customHeight="1">
      <c r="A68" s="215"/>
      <c r="B68" s="190"/>
      <c r="C68" s="191"/>
      <c r="D68" s="290" t="s">
        <v>215</v>
      </c>
      <c r="E68" s="193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 t="s">
        <v>144</v>
      </c>
      <c r="R68" s="194"/>
      <c r="S68" s="194"/>
    </row>
    <row r="69" spans="1:22" ht="13.5" customHeight="1">
      <c r="A69" s="216" t="s">
        <v>158</v>
      </c>
      <c r="B69" s="337" t="s">
        <v>159</v>
      </c>
      <c r="C69" s="337"/>
      <c r="D69" s="337"/>
      <c r="E69" s="306"/>
      <c r="F69" s="195" t="s">
        <v>62</v>
      </c>
      <c r="G69" s="195" t="s">
        <v>111</v>
      </c>
      <c r="H69" s="195" t="s">
        <v>111</v>
      </c>
      <c r="I69" s="195" t="s">
        <v>111</v>
      </c>
      <c r="J69" s="195" t="s">
        <v>111</v>
      </c>
      <c r="K69" s="195" t="s">
        <v>112</v>
      </c>
      <c r="L69" s="195" t="s">
        <v>62</v>
      </c>
      <c r="M69" s="195" t="s">
        <v>111</v>
      </c>
      <c r="N69" s="195" t="s">
        <v>111</v>
      </c>
      <c r="O69" s="195" t="s">
        <v>111</v>
      </c>
      <c r="P69" s="195" t="s">
        <v>111</v>
      </c>
      <c r="Q69" s="195" t="s">
        <v>111</v>
      </c>
      <c r="R69" s="195" t="s">
        <v>62</v>
      </c>
      <c r="S69" s="195" t="s">
        <v>111</v>
      </c>
    </row>
    <row r="70" spans="1:22" ht="13.5" customHeight="1">
      <c r="A70" s="215"/>
      <c r="B70" s="338" t="s">
        <v>160</v>
      </c>
      <c r="C70" s="338"/>
      <c r="D70" s="338"/>
      <c r="E70" s="112"/>
      <c r="F70" s="177" t="s">
        <v>216</v>
      </c>
      <c r="G70" s="177" t="s">
        <v>200</v>
      </c>
      <c r="H70" s="177" t="s">
        <v>216</v>
      </c>
      <c r="I70" s="177" t="s">
        <v>216</v>
      </c>
      <c r="J70" s="177" t="s">
        <v>216</v>
      </c>
      <c r="K70" s="177" t="s">
        <v>200</v>
      </c>
      <c r="L70" s="177" t="s">
        <v>200</v>
      </c>
      <c r="M70" s="177" t="s">
        <v>216</v>
      </c>
      <c r="N70" s="177" t="s">
        <v>216</v>
      </c>
      <c r="O70" s="177" t="s">
        <v>216</v>
      </c>
      <c r="P70" s="177" t="s">
        <v>216</v>
      </c>
      <c r="Q70" s="177" t="s">
        <v>216</v>
      </c>
      <c r="R70" s="177" t="s">
        <v>216</v>
      </c>
      <c r="S70" s="177" t="s">
        <v>216</v>
      </c>
    </row>
    <row r="71" spans="1:22" ht="54" customHeight="1">
      <c r="A71" s="215"/>
      <c r="B71" s="339" t="s">
        <v>161</v>
      </c>
      <c r="C71" s="339"/>
      <c r="D71" s="339"/>
      <c r="E71" s="113"/>
      <c r="F71" s="114">
        <v>45786</v>
      </c>
      <c r="G71" s="114">
        <v>45786</v>
      </c>
      <c r="H71" s="114">
        <v>45786</v>
      </c>
      <c r="I71" s="114">
        <v>45786</v>
      </c>
      <c r="J71" s="114">
        <v>45786</v>
      </c>
      <c r="K71" s="114">
        <v>45786</v>
      </c>
      <c r="L71" s="114">
        <v>45786</v>
      </c>
      <c r="M71" s="114">
        <v>45786</v>
      </c>
      <c r="N71" s="114">
        <v>45786</v>
      </c>
      <c r="O71" s="114">
        <v>45786</v>
      </c>
      <c r="P71" s="114">
        <v>45786</v>
      </c>
      <c r="Q71" s="114">
        <v>45786</v>
      </c>
      <c r="R71" s="114">
        <v>45786</v>
      </c>
      <c r="S71" s="492">
        <v>45786</v>
      </c>
    </row>
    <row r="72" spans="1:22" ht="88.5" customHeight="1">
      <c r="A72" s="261"/>
      <c r="B72" s="390" t="s">
        <v>162</v>
      </c>
      <c r="C72" s="390"/>
      <c r="D72" s="390"/>
      <c r="E72" s="262"/>
      <c r="F72" s="263"/>
      <c r="G72" s="263" t="s">
        <v>217</v>
      </c>
      <c r="H72" s="263"/>
      <c r="I72" s="263"/>
      <c r="J72" s="263"/>
      <c r="K72" s="263" t="s">
        <v>218</v>
      </c>
      <c r="L72" s="263" t="s">
        <v>219</v>
      </c>
      <c r="M72" s="263"/>
      <c r="N72" s="263"/>
      <c r="O72" s="263"/>
      <c r="P72" s="263"/>
      <c r="Q72" s="263"/>
      <c r="R72" s="491"/>
      <c r="S72" s="493"/>
      <c r="T72" s="115"/>
      <c r="U72" s="115"/>
      <c r="V72" s="115"/>
    </row>
  </sheetData>
  <mergeCells count="28">
    <mergeCell ref="B71:D71"/>
    <mergeCell ref="B72:D72"/>
    <mergeCell ref="A2:B2"/>
    <mergeCell ref="C2:E2"/>
    <mergeCell ref="F2:K2"/>
    <mergeCell ref="B70:D70"/>
    <mergeCell ref="F7:K7"/>
    <mergeCell ref="C7:E7"/>
    <mergeCell ref="A7:B7"/>
    <mergeCell ref="A3:B3"/>
    <mergeCell ref="A4:B4"/>
    <mergeCell ref="C4:D4"/>
    <mergeCell ref="B69:D69"/>
    <mergeCell ref="C3:E3"/>
    <mergeCell ref="D18:E18"/>
    <mergeCell ref="A6:B6"/>
    <mergeCell ref="A5:B5"/>
    <mergeCell ref="C5:T5"/>
    <mergeCell ref="L6:N6"/>
    <mergeCell ref="O7:T7"/>
    <mergeCell ref="O6:T6"/>
    <mergeCell ref="L2:T2"/>
    <mergeCell ref="L3:N3"/>
    <mergeCell ref="C6:E6"/>
    <mergeCell ref="F3:K3"/>
    <mergeCell ref="L4:T4"/>
    <mergeCell ref="F6:K6"/>
    <mergeCell ref="F4:K4"/>
  </mergeCells>
  <phoneticPr fontId="34" type="noConversion"/>
  <dataValidations count="3">
    <dataValidation type="list" allowBlank="1" showInputMessage="1" showErrorMessage="1" sqref="F69:S69" xr:uid="{068EC16C-837C-4D67-9967-C0C96895C93E}">
      <formula1>"N,A,B, "</formula1>
    </dataValidation>
    <dataValidation type="list" allowBlank="1" showInputMessage="1" showErrorMessage="1" sqref="F70:S70" xr:uid="{A695B943-1437-4487-8F0A-998D1205C8E2}">
      <formula1>"P,F, "</formula1>
    </dataValidation>
    <dataValidation type="list" allowBlank="1" showInputMessage="1" showErrorMessage="1" sqref="H45:S46 F14 F19 F18:G18 F15:S17 H21:S22 F22 F21:G21 F20:S20 H18:S19 F25 F24:G24 F23:S23 H14:S14 F46 F45:G45 F26:S44 H24:S25 F47:S68 F10:S13" xr:uid="{1B34ECDF-6C75-4F41-83D7-8D51A5B4E6AB}">
      <formula1>"O, "</formula1>
    </dataValidation>
  </dataValidations>
  <hyperlinks>
    <hyperlink ref="D18" r:id="rId1" xr:uid="{DC976150-5D69-40D0-A9E2-0A82D1CC0D62}"/>
    <hyperlink ref="D48" r:id="rId2" xr:uid="{BE9ABEDA-EFE8-4719-83B8-3F372F2DBB6D}"/>
  </hyperlink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F122-D6AD-4E04-A7F5-3906791DE615}">
  <dimension ref="A1:V54"/>
  <sheetViews>
    <sheetView workbookViewId="0">
      <pane ySplit="10" topLeftCell="AE16" activePane="bottomLeft" state="frozen"/>
      <selection pane="bottomLeft" activeCell="A53" sqref="A53"/>
    </sheetView>
  </sheetViews>
  <sheetFormatPr defaultColWidth="9" defaultRowHeight="13.5" customHeight="1"/>
  <cols>
    <col min="1" max="1" width="8.140625" style="78" customWidth="1"/>
    <col min="2" max="2" width="19.7109375" style="82" customWidth="1"/>
    <col min="3" max="3" width="6.7109375" style="78" customWidth="1"/>
    <col min="4" max="4" width="21.42578125" style="79" customWidth="1"/>
    <col min="5" max="5" width="3.7109375" style="78" hidden="1" customWidth="1"/>
    <col min="6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4.140625" style="78" bestFit="1" customWidth="1"/>
    <col min="21" max="21" width="2.85546875" style="78" customWidth="1"/>
    <col min="22" max="16384" width="9" style="78"/>
  </cols>
  <sheetData>
    <row r="1" spans="1:22" ht="22.5" customHeight="1">
      <c r="A1" s="85"/>
      <c r="B1" s="181"/>
      <c r="D1" s="182"/>
    </row>
    <row r="2" spans="1:22" ht="15" customHeight="1">
      <c r="A2" s="383" t="s">
        <v>121</v>
      </c>
      <c r="B2" s="384"/>
      <c r="C2" s="385"/>
      <c r="D2" s="386"/>
      <c r="E2" s="183"/>
      <c r="F2" s="384" t="s">
        <v>75</v>
      </c>
      <c r="G2" s="384"/>
      <c r="H2" s="384"/>
      <c r="I2" s="384"/>
      <c r="J2" s="384"/>
      <c r="K2" s="384"/>
      <c r="L2" s="416" t="str">
        <f>Functions!D12</f>
        <v>createWalletOrderPayment</v>
      </c>
      <c r="M2" s="417"/>
      <c r="N2" s="417"/>
      <c r="O2" s="417"/>
      <c r="P2" s="417"/>
      <c r="Q2" s="417"/>
      <c r="R2" s="417"/>
      <c r="S2" s="417"/>
      <c r="T2" s="418"/>
    </row>
    <row r="3" spans="1:22" ht="13.5" customHeight="1">
      <c r="A3" s="381" t="s">
        <v>122</v>
      </c>
      <c r="B3" s="382"/>
      <c r="C3" s="377" t="s">
        <v>163</v>
      </c>
      <c r="D3" s="378"/>
      <c r="E3" s="379"/>
      <c r="F3" s="387" t="s">
        <v>124</v>
      </c>
      <c r="G3" s="388"/>
      <c r="H3" s="388"/>
      <c r="I3" s="388"/>
      <c r="J3" s="388"/>
      <c r="K3" s="389"/>
      <c r="L3" s="482" t="s">
        <v>163</v>
      </c>
      <c r="M3" s="483"/>
      <c r="N3" s="483"/>
      <c r="O3" s="178"/>
      <c r="P3" s="178"/>
      <c r="Q3" s="178"/>
      <c r="R3" s="178"/>
      <c r="S3" s="178"/>
      <c r="T3" s="179"/>
    </row>
    <row r="4" spans="1:22" ht="13.5" customHeight="1">
      <c r="A4" s="355" t="s">
        <v>125</v>
      </c>
      <c r="B4" s="356"/>
      <c r="C4" s="357"/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O8),"N/A")</f>
        <v>-7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2" ht="13.5" customHeight="1">
      <c r="A5" s="300"/>
      <c r="B5" s="301"/>
      <c r="C5" s="302"/>
      <c r="D5" s="303"/>
      <c r="E5" s="189"/>
      <c r="F5" s="277"/>
      <c r="G5" s="277"/>
      <c r="H5" s="277"/>
      <c r="I5" s="277"/>
      <c r="J5" s="277"/>
      <c r="K5" s="277"/>
      <c r="L5" s="304"/>
      <c r="M5" s="304"/>
      <c r="N5" s="304"/>
      <c r="O5" s="304"/>
      <c r="P5" s="304"/>
      <c r="Q5" s="304"/>
      <c r="R5" s="304"/>
      <c r="S5" s="304"/>
      <c r="T5" s="305"/>
      <c r="V5" s="80"/>
    </row>
    <row r="6" spans="1:22" ht="13.5" customHeight="1">
      <c r="A6" s="355" t="s">
        <v>127</v>
      </c>
      <c r="B6" s="356"/>
      <c r="C6" s="365"/>
      <c r="D6" s="365"/>
      <c r="E6" s="365"/>
      <c r="F6" s="366"/>
      <c r="G6" s="366"/>
      <c r="H6" s="366"/>
      <c r="I6" s="366"/>
      <c r="J6" s="366"/>
      <c r="K6" s="366"/>
      <c r="L6" s="365"/>
      <c r="M6" s="365"/>
      <c r="N6" s="365"/>
      <c r="O6" s="365"/>
      <c r="P6" s="365"/>
      <c r="Q6" s="365"/>
      <c r="R6" s="365"/>
      <c r="S6" s="365"/>
      <c r="T6" s="365"/>
    </row>
    <row r="7" spans="1:22" ht="13.5" customHeight="1">
      <c r="A7" s="352" t="s">
        <v>108</v>
      </c>
      <c r="B7" s="353"/>
      <c r="C7" s="340" t="s">
        <v>109</v>
      </c>
      <c r="D7" s="341"/>
      <c r="E7" s="354"/>
      <c r="F7" s="340" t="s">
        <v>110</v>
      </c>
      <c r="G7" s="341"/>
      <c r="H7" s="341"/>
      <c r="I7" s="341"/>
      <c r="J7" s="341"/>
      <c r="K7" s="342"/>
      <c r="L7" s="343" t="s">
        <v>129</v>
      </c>
      <c r="M7" s="341"/>
      <c r="N7" s="342"/>
      <c r="O7" s="343" t="s">
        <v>113</v>
      </c>
      <c r="P7" s="341"/>
      <c r="Q7" s="341"/>
      <c r="R7" s="341"/>
      <c r="S7" s="341"/>
      <c r="T7" s="344"/>
      <c r="V7" s="80"/>
    </row>
    <row r="8" spans="1:22" ht="13.5" customHeight="1">
      <c r="A8" s="345">
        <f>COUNTIF(F51:HI51,"P")</f>
        <v>7</v>
      </c>
      <c r="B8" s="346"/>
      <c r="C8" s="347">
        <f>COUNTIF(F51:HI51,"F")</f>
        <v>0</v>
      </c>
      <c r="D8" s="348"/>
      <c r="E8" s="346"/>
      <c r="F8" s="347">
        <f>SUM(O8,- A8,- C8)</f>
        <v>0</v>
      </c>
      <c r="G8" s="348"/>
      <c r="H8" s="348"/>
      <c r="I8" s="348"/>
      <c r="J8" s="348"/>
      <c r="K8" s="349"/>
      <c r="L8" s="180">
        <f>COUNTIF(E50:HI50,"N")</f>
        <v>5</v>
      </c>
      <c r="M8" s="180">
        <f>COUNTIF(E50:HI50,"A")</f>
        <v>1</v>
      </c>
      <c r="N8" s="180">
        <f>COUNTIF(E50:HI50,"B")</f>
        <v>1</v>
      </c>
      <c r="O8" s="350">
        <f>COUNTA(E10:HL10)</f>
        <v>7</v>
      </c>
      <c r="P8" s="348"/>
      <c r="Q8" s="348"/>
      <c r="R8" s="348"/>
      <c r="S8" s="348"/>
      <c r="T8" s="351"/>
      <c r="U8" s="81"/>
    </row>
    <row r="9" spans="1:22" ht="10.5"/>
    <row r="10" spans="1:22" ht="41.25">
      <c r="A10" s="223"/>
      <c r="B10" s="224"/>
      <c r="C10" s="225"/>
      <c r="D10" s="226"/>
      <c r="E10" s="225"/>
      <c r="F10" s="227" t="s">
        <v>130</v>
      </c>
      <c r="G10" s="227" t="s">
        <v>131</v>
      </c>
      <c r="H10" s="227" t="s">
        <v>164</v>
      </c>
      <c r="I10" s="227" t="s">
        <v>165</v>
      </c>
      <c r="J10" s="227" t="s">
        <v>166</v>
      </c>
      <c r="K10" s="227" t="s">
        <v>167</v>
      </c>
      <c r="L10" s="227" t="s">
        <v>132</v>
      </c>
      <c r="M10" s="83"/>
      <c r="N10" s="84"/>
      <c r="O10" s="85"/>
    </row>
    <row r="11" spans="1:22" ht="13.5" customHeight="1">
      <c r="A11" s="217" t="s">
        <v>141</v>
      </c>
      <c r="B11" s="86" t="s">
        <v>142</v>
      </c>
      <c r="C11" s="87"/>
      <c r="D11" s="88"/>
      <c r="E11" s="89"/>
      <c r="F11" s="90"/>
      <c r="G11" s="90"/>
      <c r="H11" s="90"/>
      <c r="I11" s="90"/>
      <c r="J11" s="90"/>
      <c r="K11" s="90"/>
      <c r="L11" s="90"/>
    </row>
    <row r="12" spans="1:22" ht="13.5" customHeight="1">
      <c r="A12" s="203"/>
      <c r="B12" s="86"/>
      <c r="C12" s="87"/>
      <c r="D12" s="88" t="s">
        <v>169</v>
      </c>
      <c r="E12" s="91"/>
      <c r="F12" s="90"/>
      <c r="G12" s="90"/>
      <c r="H12" s="90"/>
      <c r="I12" s="90"/>
      <c r="J12" s="90"/>
      <c r="K12" s="90"/>
      <c r="L12" s="90"/>
      <c r="N12" s="80"/>
    </row>
    <row r="13" spans="1:22" ht="13.5" customHeight="1">
      <c r="A13" s="203"/>
      <c r="B13" s="86"/>
      <c r="C13" s="87"/>
      <c r="D13" s="88" t="s">
        <v>220</v>
      </c>
      <c r="E13" s="91"/>
      <c r="F13" s="90"/>
      <c r="G13" s="90"/>
      <c r="H13" s="90"/>
      <c r="I13" s="90"/>
      <c r="J13" s="90"/>
      <c r="K13" s="90"/>
      <c r="L13" s="90"/>
    </row>
    <row r="14" spans="1:22" ht="13.5" customHeight="1">
      <c r="A14" s="203"/>
      <c r="B14" s="86"/>
      <c r="C14" s="87"/>
      <c r="D14" s="88" t="s">
        <v>221</v>
      </c>
      <c r="E14" s="91"/>
      <c r="F14" s="90"/>
      <c r="G14" s="90"/>
      <c r="H14" s="90"/>
      <c r="I14" s="90"/>
      <c r="J14" s="90"/>
      <c r="K14" s="90"/>
      <c r="L14" s="90"/>
    </row>
    <row r="15" spans="1:22" ht="13.5" customHeight="1">
      <c r="A15" s="203"/>
      <c r="B15" s="86"/>
      <c r="C15" s="87"/>
      <c r="D15" s="88" t="s">
        <v>222</v>
      </c>
      <c r="E15" s="91"/>
      <c r="F15" s="90"/>
      <c r="G15" s="90"/>
      <c r="H15" s="90"/>
      <c r="I15" s="90"/>
      <c r="J15" s="90"/>
      <c r="K15" s="90"/>
      <c r="L15" s="90"/>
    </row>
    <row r="16" spans="1:22" ht="13.5" customHeight="1">
      <c r="A16" s="203"/>
      <c r="B16" s="86"/>
      <c r="C16" s="87"/>
      <c r="D16" s="88"/>
      <c r="E16" s="92"/>
      <c r="F16" s="90"/>
      <c r="G16" s="90"/>
      <c r="H16" s="90"/>
      <c r="I16" s="90"/>
      <c r="J16" s="90"/>
      <c r="K16" s="90"/>
      <c r="L16" s="90"/>
      <c r="N16" s="80"/>
    </row>
    <row r="17" spans="1:13" ht="13.5" customHeight="1">
      <c r="A17" s="203"/>
      <c r="B17" s="86" t="s">
        <v>223</v>
      </c>
      <c r="C17" s="87"/>
      <c r="D17" s="88"/>
      <c r="E17" s="93"/>
      <c r="F17" s="90"/>
      <c r="G17" s="90"/>
      <c r="H17" s="90"/>
      <c r="I17" s="90"/>
      <c r="J17" s="90"/>
      <c r="K17" s="90"/>
      <c r="L17" s="90"/>
    </row>
    <row r="18" spans="1:13" ht="13.5" customHeight="1">
      <c r="A18" s="203"/>
      <c r="B18" s="86"/>
      <c r="C18" s="87"/>
      <c r="D18" s="88">
        <v>1</v>
      </c>
      <c r="E18" s="93"/>
      <c r="F18" s="90" t="s">
        <v>144</v>
      </c>
      <c r="G18" s="90"/>
      <c r="H18" s="90" t="s">
        <v>144</v>
      </c>
      <c r="I18" s="90" t="s">
        <v>144</v>
      </c>
      <c r="J18" s="90" t="s">
        <v>144</v>
      </c>
      <c r="K18" s="90" t="s">
        <v>144</v>
      </c>
      <c r="L18" s="90" t="s">
        <v>144</v>
      </c>
    </row>
    <row r="19" spans="1:13" ht="13.5" customHeight="1">
      <c r="A19" s="203"/>
      <c r="B19" s="86"/>
      <c r="C19" s="87"/>
      <c r="D19" s="88" t="s">
        <v>224</v>
      </c>
      <c r="E19" s="93"/>
      <c r="F19" s="90"/>
      <c r="G19" s="90" t="s">
        <v>144</v>
      </c>
      <c r="H19" s="90"/>
      <c r="I19" s="90"/>
      <c r="J19" s="90"/>
      <c r="K19" s="90"/>
      <c r="L19" s="90"/>
    </row>
    <row r="20" spans="1:13" ht="13.5" customHeight="1">
      <c r="A20" s="203"/>
      <c r="B20" s="86" t="s">
        <v>225</v>
      </c>
      <c r="C20" s="87"/>
      <c r="D20" s="88"/>
      <c r="E20" s="93"/>
      <c r="F20" s="90"/>
      <c r="G20" s="90"/>
      <c r="H20" s="90"/>
      <c r="I20" s="90"/>
      <c r="J20" s="90"/>
      <c r="K20" s="90"/>
      <c r="L20" s="90"/>
      <c r="M20" s="94"/>
    </row>
    <row r="21" spans="1:13" ht="13.5" customHeight="1">
      <c r="A21" s="203"/>
      <c r="C21" s="87"/>
      <c r="D21" s="88">
        <v>1</v>
      </c>
      <c r="E21" s="93"/>
      <c r="F21" s="90" t="s">
        <v>144</v>
      </c>
      <c r="G21" s="90" t="s">
        <v>144</v>
      </c>
      <c r="H21" s="90"/>
      <c r="I21" s="90" t="s">
        <v>144</v>
      </c>
      <c r="J21" s="90" t="s">
        <v>144</v>
      </c>
      <c r="K21" s="90" t="s">
        <v>144</v>
      </c>
      <c r="L21" s="90" t="s">
        <v>144</v>
      </c>
      <c r="M21" s="94"/>
    </row>
    <row r="22" spans="1:13" ht="13.5" customHeight="1">
      <c r="A22" s="203"/>
      <c r="B22" s="86"/>
      <c r="C22" s="87"/>
      <c r="D22" s="336" t="s">
        <v>226</v>
      </c>
      <c r="E22" s="429"/>
      <c r="F22" s="90"/>
      <c r="G22" s="90"/>
      <c r="H22" s="90" t="s">
        <v>144</v>
      </c>
      <c r="I22" s="90"/>
      <c r="J22" s="90"/>
      <c r="K22" s="90"/>
      <c r="L22" s="90"/>
    </row>
    <row r="23" spans="1:13" ht="13.5" customHeight="1">
      <c r="A23" s="203"/>
      <c r="B23" s="86" t="s">
        <v>227</v>
      </c>
      <c r="C23" s="87"/>
      <c r="D23" s="88"/>
      <c r="E23" s="93"/>
      <c r="F23" s="90"/>
      <c r="G23" s="90"/>
      <c r="H23" s="90"/>
      <c r="I23" s="90"/>
      <c r="J23" s="90"/>
      <c r="K23" s="90"/>
      <c r="L23" s="90"/>
    </row>
    <row r="24" spans="1:13" ht="13.5" customHeight="1">
      <c r="A24" s="203"/>
      <c r="B24" s="86"/>
      <c r="C24" s="87"/>
      <c r="D24" s="282" t="s">
        <v>228</v>
      </c>
      <c r="E24" s="93"/>
      <c r="F24" s="90" t="s">
        <v>144</v>
      </c>
      <c r="G24" s="90" t="s">
        <v>144</v>
      </c>
      <c r="H24" s="90" t="s">
        <v>144</v>
      </c>
      <c r="I24" s="90"/>
      <c r="J24" s="90" t="s">
        <v>144</v>
      </c>
      <c r="K24" s="90" t="s">
        <v>144</v>
      </c>
      <c r="L24" s="90" t="s">
        <v>144</v>
      </c>
    </row>
    <row r="25" spans="1:13" ht="13.5" customHeight="1">
      <c r="A25" s="203"/>
      <c r="B25" s="86"/>
      <c r="C25" s="87"/>
      <c r="D25" s="88" t="s">
        <v>229</v>
      </c>
      <c r="E25" s="93"/>
      <c r="F25" s="90"/>
      <c r="G25" s="90"/>
      <c r="H25" s="90"/>
      <c r="I25" s="90" t="s">
        <v>144</v>
      </c>
      <c r="J25" s="90"/>
      <c r="K25" s="90"/>
      <c r="L25" s="90"/>
    </row>
    <row r="26" spans="1:13" ht="13.5" customHeight="1">
      <c r="A26" s="203"/>
      <c r="B26" s="86" t="s">
        <v>174</v>
      </c>
      <c r="C26" s="87"/>
      <c r="D26" s="88"/>
      <c r="E26" s="93"/>
      <c r="F26" s="90"/>
      <c r="G26" s="90"/>
      <c r="H26" s="90"/>
      <c r="I26" s="90"/>
      <c r="J26" s="90"/>
      <c r="K26" s="90"/>
      <c r="L26" s="90"/>
    </row>
    <row r="27" spans="1:13" ht="13.5" customHeight="1">
      <c r="A27" s="203"/>
      <c r="B27" s="86"/>
      <c r="C27" s="87"/>
      <c r="D27" s="444" t="s">
        <v>175</v>
      </c>
      <c r="E27" s="93"/>
      <c r="F27" s="90" t="s">
        <v>144</v>
      </c>
      <c r="G27" s="90" t="s">
        <v>144</v>
      </c>
      <c r="H27" s="90" t="s">
        <v>144</v>
      </c>
      <c r="I27" s="90" t="s">
        <v>144</v>
      </c>
      <c r="J27" s="90"/>
      <c r="K27" s="90" t="s">
        <v>144</v>
      </c>
      <c r="L27" s="90"/>
    </row>
    <row r="28" spans="1:13" ht="13.5" customHeight="1">
      <c r="A28" s="203"/>
      <c r="B28" s="86"/>
      <c r="C28" s="87"/>
      <c r="D28" s="444" t="s">
        <v>226</v>
      </c>
      <c r="E28" s="93"/>
      <c r="F28" s="90"/>
      <c r="G28" s="90"/>
      <c r="H28" s="90"/>
      <c r="I28" s="90"/>
      <c r="J28" s="90"/>
      <c r="K28" s="90"/>
      <c r="L28" s="90" t="s">
        <v>144</v>
      </c>
    </row>
    <row r="29" spans="1:13" ht="13.5" customHeight="1">
      <c r="A29" s="203"/>
      <c r="B29" s="86"/>
      <c r="C29" s="87"/>
      <c r="D29" s="88" t="s">
        <v>230</v>
      </c>
      <c r="E29" s="93"/>
      <c r="F29" s="90"/>
      <c r="G29" s="90"/>
      <c r="H29" s="90"/>
      <c r="I29" s="90"/>
      <c r="J29" s="90" t="s">
        <v>144</v>
      </c>
      <c r="K29" s="90"/>
      <c r="L29" s="90"/>
    </row>
    <row r="30" spans="1:13" ht="13.5" customHeight="1">
      <c r="A30" s="203"/>
      <c r="B30" s="86" t="s">
        <v>231</v>
      </c>
      <c r="C30" s="87"/>
      <c r="D30" s="88"/>
      <c r="E30" s="93"/>
      <c r="F30" s="90"/>
      <c r="G30" s="90"/>
      <c r="H30" s="90"/>
      <c r="I30" s="90"/>
      <c r="J30" s="90"/>
      <c r="K30" s="90"/>
      <c r="L30" s="90"/>
    </row>
    <row r="31" spans="1:13" ht="13.5" customHeight="1">
      <c r="A31" s="203"/>
      <c r="B31" s="86"/>
      <c r="C31" s="87"/>
      <c r="D31" s="88" t="s">
        <v>232</v>
      </c>
      <c r="E31" s="93"/>
      <c r="F31" s="90" t="s">
        <v>144</v>
      </c>
      <c r="G31" s="90" t="s">
        <v>144</v>
      </c>
      <c r="H31" s="90" t="s">
        <v>144</v>
      </c>
      <c r="I31" s="90" t="s">
        <v>144</v>
      </c>
      <c r="J31" s="90" t="s">
        <v>144</v>
      </c>
      <c r="K31" s="90"/>
      <c r="L31" s="90" t="s">
        <v>144</v>
      </c>
    </row>
    <row r="32" spans="1:13" ht="13.5" customHeight="1">
      <c r="A32" s="203"/>
      <c r="B32" s="86"/>
      <c r="C32" s="87"/>
      <c r="D32" s="88" t="s">
        <v>233</v>
      </c>
      <c r="E32" s="93"/>
      <c r="F32" s="90"/>
      <c r="G32" s="90"/>
      <c r="H32" s="90"/>
      <c r="I32" s="90"/>
      <c r="J32" s="90"/>
      <c r="K32" s="90" t="s">
        <v>144</v>
      </c>
      <c r="L32" s="90"/>
    </row>
    <row r="33" spans="1:12" ht="13.5" customHeight="1">
      <c r="A33" s="216" t="s">
        <v>147</v>
      </c>
      <c r="B33" s="100" t="s">
        <v>148</v>
      </c>
      <c r="C33" s="101"/>
      <c r="D33" s="102"/>
      <c r="E33" s="103"/>
      <c r="F33" s="104"/>
      <c r="G33" s="104"/>
      <c r="H33" s="104"/>
      <c r="I33" s="104"/>
      <c r="J33" s="104"/>
      <c r="K33" s="104"/>
      <c r="L33" s="104"/>
    </row>
    <row r="34" spans="1:12" ht="13.5" customHeight="1">
      <c r="A34" s="215"/>
      <c r="B34" s="105"/>
      <c r="C34" s="106"/>
      <c r="D34" s="107" t="s">
        <v>234</v>
      </c>
      <c r="E34" s="108"/>
      <c r="F34" s="90" t="s">
        <v>144</v>
      </c>
      <c r="G34" s="90" t="s">
        <v>144</v>
      </c>
      <c r="H34" s="90" t="s">
        <v>144</v>
      </c>
      <c r="I34" s="90" t="s">
        <v>144</v>
      </c>
      <c r="J34" s="90" t="s">
        <v>144</v>
      </c>
      <c r="K34" s="90" t="s">
        <v>144</v>
      </c>
      <c r="L34" s="90" t="s">
        <v>144</v>
      </c>
    </row>
    <row r="35" spans="1:12" ht="13.5" customHeight="1">
      <c r="A35" s="215"/>
      <c r="B35" s="105" t="s">
        <v>155</v>
      </c>
      <c r="C35" s="109"/>
      <c r="D35" s="107"/>
      <c r="E35" s="110"/>
      <c r="F35" s="90"/>
      <c r="G35" s="90"/>
      <c r="H35" s="90"/>
      <c r="I35" s="90"/>
      <c r="J35" s="90"/>
      <c r="K35" s="90"/>
      <c r="L35" s="90"/>
    </row>
    <row r="36" spans="1:12" ht="13.5" customHeight="1">
      <c r="A36" s="215"/>
      <c r="B36" s="105"/>
      <c r="C36" s="109"/>
      <c r="D36" s="107" t="s">
        <v>235</v>
      </c>
      <c r="E36" s="110"/>
      <c r="F36" s="90"/>
      <c r="G36" s="90" t="s">
        <v>144</v>
      </c>
      <c r="H36" s="90"/>
      <c r="I36" s="90"/>
      <c r="J36" s="90"/>
      <c r="K36" s="90"/>
      <c r="L36" s="90"/>
    </row>
    <row r="37" spans="1:12" ht="13.5" customHeight="1">
      <c r="A37" s="215"/>
      <c r="B37" s="105"/>
      <c r="C37" s="109"/>
      <c r="D37" s="107" t="s">
        <v>236</v>
      </c>
      <c r="E37" s="110"/>
      <c r="F37" s="221"/>
      <c r="G37" s="90"/>
      <c r="H37" s="90"/>
      <c r="I37" s="90"/>
      <c r="J37" s="90"/>
      <c r="K37" s="90"/>
      <c r="L37" s="90" t="s">
        <v>144</v>
      </c>
    </row>
    <row r="38" spans="1:12" ht="13.5" customHeight="1">
      <c r="A38" s="215"/>
      <c r="B38" s="105"/>
      <c r="C38" s="109"/>
      <c r="D38" s="107" t="s">
        <v>237</v>
      </c>
      <c r="E38" s="110"/>
      <c r="F38" s="221"/>
      <c r="G38" s="90"/>
      <c r="H38" s="90"/>
      <c r="I38" s="90"/>
      <c r="J38" s="90"/>
      <c r="K38" s="90" t="s">
        <v>144</v>
      </c>
      <c r="L38" s="90"/>
    </row>
    <row r="39" spans="1:12" ht="13.5" customHeight="1">
      <c r="A39" s="215"/>
      <c r="B39" s="105"/>
      <c r="C39" s="109"/>
      <c r="D39" s="79" t="s">
        <v>238</v>
      </c>
      <c r="E39" s="470"/>
      <c r="F39" s="469"/>
      <c r="G39" s="471"/>
      <c r="H39" s="90"/>
      <c r="I39" s="90"/>
      <c r="J39" s="90"/>
      <c r="K39" s="90"/>
      <c r="L39" s="90"/>
    </row>
    <row r="40" spans="1:12" ht="13.5" customHeight="1">
      <c r="A40" s="215"/>
      <c r="B40" s="105"/>
      <c r="C40" s="109"/>
      <c r="D40" s="107" t="s">
        <v>239</v>
      </c>
      <c r="E40" s="110"/>
      <c r="F40" s="104"/>
      <c r="G40" s="90"/>
      <c r="H40" s="90"/>
      <c r="I40" s="90"/>
      <c r="J40" s="90" t="s">
        <v>144</v>
      </c>
      <c r="K40" s="90"/>
      <c r="L40" s="90"/>
    </row>
    <row r="41" spans="1:12" ht="29.25" customHeight="1">
      <c r="A41" s="215"/>
      <c r="B41" s="105" t="s">
        <v>156</v>
      </c>
      <c r="C41" s="109"/>
      <c r="D41" s="78"/>
      <c r="E41" s="110"/>
      <c r="F41" s="90"/>
      <c r="G41" s="90"/>
      <c r="H41" s="90"/>
      <c r="I41" s="90"/>
      <c r="J41" s="90"/>
      <c r="K41" s="90"/>
      <c r="L41" s="90"/>
    </row>
    <row r="42" spans="1:12" ht="12.75" customHeight="1">
      <c r="A42" s="215"/>
      <c r="B42" s="105"/>
      <c r="C42" s="109"/>
      <c r="D42" s="289" t="s">
        <v>240</v>
      </c>
      <c r="E42" s="110"/>
      <c r="F42" s="90"/>
      <c r="G42" s="90"/>
      <c r="H42" s="90"/>
      <c r="I42" s="90"/>
      <c r="J42" s="90" t="s">
        <v>144</v>
      </c>
      <c r="K42" s="90"/>
      <c r="L42" s="90"/>
    </row>
    <row r="43" spans="1:12" ht="12.75" customHeight="1">
      <c r="A43" s="215"/>
      <c r="B43" s="105"/>
      <c r="C43" s="109"/>
      <c r="D43" s="289" t="s">
        <v>241</v>
      </c>
      <c r="E43" s="110"/>
      <c r="F43" s="90"/>
      <c r="G43" s="90"/>
      <c r="H43" s="90"/>
      <c r="I43" s="90"/>
      <c r="J43" s="90"/>
      <c r="K43" s="90"/>
      <c r="L43" s="90" t="s">
        <v>144</v>
      </c>
    </row>
    <row r="44" spans="1:12" ht="12.75" customHeight="1">
      <c r="A44" s="215"/>
      <c r="B44" s="105"/>
      <c r="C44" s="109"/>
      <c r="D44" s="289" t="s">
        <v>242</v>
      </c>
      <c r="E44" s="110"/>
      <c r="F44" s="90"/>
      <c r="G44" s="90"/>
      <c r="H44" s="90" t="s">
        <v>144</v>
      </c>
      <c r="I44" s="90"/>
      <c r="J44" s="90"/>
      <c r="K44" s="90"/>
      <c r="L44" s="90"/>
    </row>
    <row r="45" spans="1:12" ht="13.5" customHeight="1">
      <c r="A45" s="215"/>
      <c r="B45" s="105"/>
      <c r="C45" s="109"/>
      <c r="D45" s="289" t="s">
        <v>243</v>
      </c>
      <c r="E45" s="110"/>
      <c r="F45" s="90"/>
      <c r="G45" s="90" t="s">
        <v>144</v>
      </c>
      <c r="H45" s="90"/>
      <c r="I45" s="90"/>
      <c r="J45" s="90"/>
      <c r="K45" s="90"/>
      <c r="L45" s="90"/>
    </row>
    <row r="46" spans="1:12" ht="10.5" customHeight="1">
      <c r="A46" s="215"/>
      <c r="B46" s="105"/>
      <c r="C46" s="109"/>
      <c r="D46" s="289" t="s">
        <v>244</v>
      </c>
      <c r="E46" s="110"/>
      <c r="F46" s="90"/>
      <c r="G46" s="90"/>
      <c r="H46" s="90"/>
      <c r="I46" s="90" t="s">
        <v>144</v>
      </c>
      <c r="J46" s="90"/>
      <c r="K46" s="90"/>
      <c r="L46" s="90"/>
    </row>
    <row r="47" spans="1:12" ht="13.5" customHeight="1">
      <c r="A47" s="215"/>
      <c r="B47" s="105"/>
      <c r="C47" s="109"/>
      <c r="D47" s="107" t="s">
        <v>213</v>
      </c>
      <c r="E47" s="110"/>
      <c r="F47" s="90" t="s">
        <v>144</v>
      </c>
      <c r="G47" s="90"/>
      <c r="H47" s="90"/>
      <c r="I47" s="90"/>
      <c r="J47" s="90"/>
      <c r="K47" s="90"/>
      <c r="L47" s="90"/>
    </row>
    <row r="48" spans="1:12" ht="13.5" customHeight="1">
      <c r="A48" s="215"/>
      <c r="B48" s="190"/>
      <c r="C48" s="473"/>
      <c r="D48" s="192" t="s">
        <v>245</v>
      </c>
      <c r="E48" s="294"/>
      <c r="F48" s="221"/>
      <c r="G48" s="221"/>
      <c r="H48" s="221"/>
      <c r="I48" s="221"/>
      <c r="J48" s="221"/>
      <c r="K48" s="221" t="s">
        <v>144</v>
      </c>
      <c r="L48" s="221"/>
    </row>
    <row r="49" spans="1:12" ht="13.5" customHeight="1">
      <c r="A49" s="215"/>
      <c r="B49" s="190"/>
      <c r="C49" s="191"/>
      <c r="D49" s="192" t="s">
        <v>246</v>
      </c>
      <c r="E49" s="193"/>
      <c r="F49" s="221"/>
      <c r="G49" s="221"/>
      <c r="H49" s="221"/>
      <c r="I49" s="221"/>
      <c r="J49" s="221"/>
      <c r="K49" s="221"/>
      <c r="L49" s="221"/>
    </row>
    <row r="50" spans="1:12" ht="13.5" customHeight="1">
      <c r="A50" s="216" t="s">
        <v>158</v>
      </c>
      <c r="B50" s="430" t="s">
        <v>159</v>
      </c>
      <c r="C50" s="431"/>
      <c r="D50" s="432"/>
      <c r="E50" s="306"/>
      <c r="F50" s="222" t="s">
        <v>111</v>
      </c>
      <c r="G50" s="222" t="s">
        <v>111</v>
      </c>
      <c r="H50" s="222" t="s">
        <v>111</v>
      </c>
      <c r="I50" s="222" t="s">
        <v>111</v>
      </c>
      <c r="J50" s="222" t="s">
        <v>111</v>
      </c>
      <c r="K50" s="222" t="s">
        <v>112</v>
      </c>
      <c r="L50" s="222" t="s">
        <v>62</v>
      </c>
    </row>
    <row r="51" spans="1:12" ht="13.5" customHeight="1">
      <c r="A51" s="215"/>
      <c r="B51" s="433" t="s">
        <v>160</v>
      </c>
      <c r="C51" s="434"/>
      <c r="D51" s="435"/>
      <c r="E51" s="112"/>
      <c r="F51" s="111" t="s">
        <v>216</v>
      </c>
      <c r="G51" s="111" t="s">
        <v>216</v>
      </c>
      <c r="H51" s="111" t="s">
        <v>216</v>
      </c>
      <c r="I51" s="111" t="s">
        <v>216</v>
      </c>
      <c r="J51" s="111" t="s">
        <v>216</v>
      </c>
      <c r="K51" s="111" t="s">
        <v>216</v>
      </c>
      <c r="L51" s="111" t="s">
        <v>216</v>
      </c>
    </row>
    <row r="52" spans="1:12" ht="58.5" customHeight="1">
      <c r="A52" s="215"/>
      <c r="B52" s="479" t="s">
        <v>161</v>
      </c>
      <c r="C52" s="480"/>
      <c r="D52" s="481"/>
      <c r="E52" s="113"/>
      <c r="F52" s="114">
        <v>45786</v>
      </c>
      <c r="G52" s="114">
        <v>45786</v>
      </c>
      <c r="H52" s="114">
        <v>45786</v>
      </c>
      <c r="I52" s="114">
        <v>45786</v>
      </c>
      <c r="J52" s="114">
        <v>45786</v>
      </c>
      <c r="K52" s="114">
        <v>45786</v>
      </c>
      <c r="L52" s="114">
        <v>45786</v>
      </c>
    </row>
    <row r="53" spans="1:12" ht="10.5">
      <c r="A53" s="234"/>
      <c r="B53" s="476" t="s">
        <v>162</v>
      </c>
      <c r="C53" s="477"/>
      <c r="D53" s="478"/>
      <c r="E53" s="212"/>
      <c r="F53" s="213"/>
      <c r="G53" s="213"/>
      <c r="H53" s="213"/>
      <c r="I53" s="213"/>
      <c r="J53" s="213"/>
      <c r="K53" s="213"/>
      <c r="L53" s="213"/>
    </row>
    <row r="54" spans="1:12" ht="10.5">
      <c r="A54" s="82"/>
      <c r="B54" s="78"/>
      <c r="C54" s="79"/>
      <c r="D54" s="78"/>
    </row>
  </sheetData>
  <mergeCells count="28">
    <mergeCell ref="L4:T4"/>
    <mergeCell ref="L3:N3"/>
    <mergeCell ref="L2:T2"/>
    <mergeCell ref="A2:B2"/>
    <mergeCell ref="F2:K2"/>
    <mergeCell ref="C2:D2"/>
    <mergeCell ref="C7:E7"/>
    <mergeCell ref="F3:K3"/>
    <mergeCell ref="F7:K7"/>
    <mergeCell ref="F4:K4"/>
    <mergeCell ref="F8:K8"/>
    <mergeCell ref="C8:E8"/>
    <mergeCell ref="B53:D53"/>
    <mergeCell ref="B50:D50"/>
    <mergeCell ref="C3:E3"/>
    <mergeCell ref="A3:B3"/>
    <mergeCell ref="A4:B4"/>
    <mergeCell ref="C4:D4"/>
    <mergeCell ref="D22:E22"/>
    <mergeCell ref="A7:B7"/>
    <mergeCell ref="B51:D51"/>
    <mergeCell ref="A6:B6"/>
    <mergeCell ref="C6:T6"/>
    <mergeCell ref="B52:D52"/>
    <mergeCell ref="A8:B8"/>
    <mergeCell ref="O8:T8"/>
    <mergeCell ref="O7:T7"/>
    <mergeCell ref="L7:N7"/>
  </mergeCells>
  <phoneticPr fontId="34" type="noConversion"/>
  <dataValidations count="3">
    <dataValidation type="list" allowBlank="1" showInputMessage="1" showErrorMessage="1" sqref="F50:L50" xr:uid="{18E5C2A8-DB32-4806-8D37-E74597DC1E9B}">
      <formula1>"N,A,B, "</formula1>
    </dataValidation>
    <dataValidation type="list" allowBlank="1" showInputMessage="1" showErrorMessage="1" sqref="F51:L51" xr:uid="{B719C86B-5FAD-4EBA-AB5C-90B988C8B29C}">
      <formula1>"P,F, "</formula1>
    </dataValidation>
    <dataValidation type="list" allowBlank="1" showInputMessage="1" showErrorMessage="1" sqref="F11:L49" xr:uid="{6189258A-83E4-4C39-973A-7144D814AFA4}">
      <formula1>"O, "</formula1>
    </dataValidation>
  </dataValidations>
  <hyperlinks>
    <hyperlink ref="D27" r:id="rId1" xr:uid="{593E9EC6-9890-45A8-B6A6-8870C44B8D61}"/>
  </hyperlink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677E-A26C-4295-A0A7-AA085B5D8D02}">
  <dimension ref="A1:V53"/>
  <sheetViews>
    <sheetView workbookViewId="0">
      <pane ySplit="9" topLeftCell="A10" activePane="bottomLeft" state="frozen"/>
      <selection pane="bottomLeft" activeCell="W51" sqref="W51"/>
    </sheetView>
  </sheetViews>
  <sheetFormatPr defaultColWidth="9" defaultRowHeight="13.5" customHeight="1"/>
  <cols>
    <col min="1" max="1" width="6.85546875" style="115" customWidth="1"/>
    <col min="2" max="2" width="13.28515625" style="119" customWidth="1"/>
    <col min="3" max="3" width="6.85546875" style="115" customWidth="1"/>
    <col min="4" max="4" width="21.28515625" style="116" customWidth="1"/>
    <col min="5" max="5" width="1.85546875" style="115" hidden="1" customWidth="1"/>
    <col min="6" max="7" width="4.140625" style="115" bestFit="1" customWidth="1"/>
    <col min="8" max="8" width="2.85546875" style="115" customWidth="1"/>
    <col min="9" max="10" width="4.140625" style="115" bestFit="1" customWidth="1"/>
    <col min="11" max="19" width="2.85546875" style="115" customWidth="1"/>
    <col min="20" max="20" width="4.140625" style="115" bestFit="1" customWidth="1"/>
    <col min="21" max="21" width="2.85546875" style="115" customWidth="1"/>
    <col min="22" max="16384" width="9" style="115"/>
  </cols>
  <sheetData>
    <row r="1" spans="1:22" ht="13.5" customHeight="1" thickBot="1">
      <c r="A1" s="122"/>
      <c r="B1" s="184"/>
    </row>
    <row r="2" spans="1:22" ht="13.5" customHeight="1">
      <c r="A2" s="383" t="s">
        <v>121</v>
      </c>
      <c r="B2" s="384"/>
      <c r="C2" s="385">
        <f>Functions!E13</f>
        <v>0</v>
      </c>
      <c r="D2" s="386"/>
      <c r="F2" s="384" t="s">
        <v>75</v>
      </c>
      <c r="G2" s="384"/>
      <c r="H2" s="384"/>
      <c r="I2" s="384"/>
      <c r="J2" s="384"/>
      <c r="K2" s="384"/>
      <c r="L2" s="416" t="str">
        <f>Functions!D13</f>
        <v>createUserAddress</v>
      </c>
      <c r="M2" s="417"/>
      <c r="N2" s="417"/>
      <c r="O2" s="417"/>
      <c r="P2" s="417"/>
      <c r="Q2" s="417"/>
      <c r="R2" s="417"/>
      <c r="S2" s="417"/>
      <c r="T2" s="418"/>
    </row>
    <row r="3" spans="1:22" ht="13.5" customHeight="1">
      <c r="A3" s="398" t="s">
        <v>122</v>
      </c>
      <c r="B3" s="399"/>
      <c r="C3" s="392" t="s">
        <v>123</v>
      </c>
      <c r="D3" s="393"/>
      <c r="E3" s="394"/>
      <c r="F3" s="413" t="s">
        <v>124</v>
      </c>
      <c r="G3" s="414"/>
      <c r="H3" s="414"/>
      <c r="I3" s="414"/>
      <c r="J3" s="414"/>
      <c r="K3" s="415"/>
      <c r="L3" s="393"/>
      <c r="M3" s="393"/>
      <c r="N3" s="393"/>
      <c r="O3" s="241"/>
      <c r="P3" s="241"/>
      <c r="Q3" s="241"/>
      <c r="R3" s="241"/>
      <c r="S3" s="241"/>
      <c r="T3" s="242"/>
    </row>
    <row r="4" spans="1:22" ht="13.5" customHeight="1">
      <c r="A4" s="398" t="s">
        <v>125</v>
      </c>
      <c r="B4" s="399"/>
      <c r="C4" s="425">
        <v>300</v>
      </c>
      <c r="D4" s="426"/>
      <c r="E4" s="243"/>
      <c r="F4" s="413" t="s">
        <v>126</v>
      </c>
      <c r="G4" s="414"/>
      <c r="H4" s="414"/>
      <c r="I4" s="414"/>
      <c r="J4" s="414"/>
      <c r="K4" s="415"/>
      <c r="L4" s="422">
        <f xml:space="preserve"> IF(Functions!E6&lt;&gt;"N/A",SUM(C4*Functions!E6/1000,- O7),"N/A")</f>
        <v>24</v>
      </c>
      <c r="M4" s="423"/>
      <c r="N4" s="423"/>
      <c r="O4" s="423"/>
      <c r="P4" s="423"/>
      <c r="Q4" s="423"/>
      <c r="R4" s="423"/>
      <c r="S4" s="423"/>
      <c r="T4" s="424"/>
      <c r="V4" s="117"/>
    </row>
    <row r="5" spans="1:22" ht="13.5" customHeight="1">
      <c r="A5" s="398" t="s">
        <v>127</v>
      </c>
      <c r="B5" s="399"/>
      <c r="C5" s="400" t="s">
        <v>128</v>
      </c>
      <c r="D5" s="400"/>
      <c r="E5" s="400"/>
      <c r="F5" s="401"/>
      <c r="G5" s="401"/>
      <c r="H5" s="401"/>
      <c r="I5" s="401"/>
      <c r="J5" s="401"/>
      <c r="K5" s="401"/>
      <c r="L5" s="400"/>
      <c r="M5" s="400"/>
      <c r="N5" s="400"/>
      <c r="O5" s="400"/>
      <c r="P5" s="400"/>
      <c r="Q5" s="400"/>
      <c r="R5" s="400"/>
      <c r="S5" s="400"/>
      <c r="T5" s="400"/>
    </row>
    <row r="6" spans="1:22" ht="13.5" customHeight="1">
      <c r="A6" s="396" t="s">
        <v>108</v>
      </c>
      <c r="B6" s="397"/>
      <c r="C6" s="411" t="s">
        <v>109</v>
      </c>
      <c r="D6" s="402"/>
      <c r="E6" s="412"/>
      <c r="F6" s="411" t="s">
        <v>110</v>
      </c>
      <c r="G6" s="402"/>
      <c r="H6" s="402"/>
      <c r="I6" s="402"/>
      <c r="J6" s="402"/>
      <c r="K6" s="419"/>
      <c r="L6" s="402" t="s">
        <v>129</v>
      </c>
      <c r="M6" s="402"/>
      <c r="N6" s="402"/>
      <c r="O6" s="420" t="s">
        <v>113</v>
      </c>
      <c r="P6" s="402"/>
      <c r="Q6" s="402"/>
      <c r="R6" s="402"/>
      <c r="S6" s="402"/>
      <c r="T6" s="421"/>
      <c r="V6" s="117"/>
    </row>
    <row r="7" spans="1:22" ht="13.5" customHeight="1" thickBot="1">
      <c r="A7" s="410">
        <f>COUNTIF(F50:HH50,"P")</f>
        <v>5</v>
      </c>
      <c r="B7" s="409"/>
      <c r="C7" s="406">
        <f>COUNTIF(F50:HH50,"F")</f>
        <v>1</v>
      </c>
      <c r="D7" s="404"/>
      <c r="E7" s="409"/>
      <c r="F7" s="406">
        <f>SUM(O7,- A7,- C7)</f>
        <v>0</v>
      </c>
      <c r="G7" s="404"/>
      <c r="H7" s="404"/>
      <c r="I7" s="404"/>
      <c r="J7" s="404"/>
      <c r="K7" s="407"/>
      <c r="L7" s="244">
        <f>COUNTIF(E49:HH49,"N")</f>
        <v>5</v>
      </c>
      <c r="M7" s="244">
        <f>COUNTIF(E49:HH49,"A")</f>
        <v>0</v>
      </c>
      <c r="N7" s="244">
        <f>COUNTIF(E49:HH49,"B")</f>
        <v>1</v>
      </c>
      <c r="O7" s="403">
        <f>COUNTA(E9:HK9)</f>
        <v>6</v>
      </c>
      <c r="P7" s="404"/>
      <c r="Q7" s="404"/>
      <c r="R7" s="404"/>
      <c r="S7" s="404"/>
      <c r="T7" s="405"/>
      <c r="U7" s="118"/>
    </row>
    <row r="8" spans="1:22" ht="10.5"/>
    <row r="9" spans="1:22" ht="46.5" customHeight="1">
      <c r="A9" s="251"/>
      <c r="B9" s="252"/>
      <c r="C9" s="253"/>
      <c r="D9" s="254"/>
      <c r="E9" s="253"/>
      <c r="F9" s="255" t="s">
        <v>130</v>
      </c>
      <c r="G9" s="255" t="s">
        <v>131</v>
      </c>
      <c r="H9" s="255" t="s">
        <v>164</v>
      </c>
      <c r="I9" s="255" t="s">
        <v>165</v>
      </c>
      <c r="J9" s="255" t="s">
        <v>166</v>
      </c>
      <c r="K9" s="255" t="s">
        <v>167</v>
      </c>
      <c r="L9" s="120"/>
      <c r="M9" s="121"/>
      <c r="N9" s="122"/>
    </row>
    <row r="10" spans="1:22" ht="13.5" customHeight="1">
      <c r="A10" s="256" t="s">
        <v>141</v>
      </c>
      <c r="B10" s="123" t="s">
        <v>168</v>
      </c>
      <c r="C10" s="124"/>
      <c r="D10" s="125"/>
      <c r="E10" s="126"/>
      <c r="F10" s="127"/>
      <c r="G10" s="127"/>
      <c r="H10" s="127"/>
      <c r="I10" s="127"/>
      <c r="J10" s="127"/>
      <c r="K10" s="127"/>
    </row>
    <row r="11" spans="1:22" ht="13.5" customHeight="1">
      <c r="A11" s="257"/>
      <c r="B11" s="123"/>
      <c r="C11" s="124"/>
      <c r="D11" s="308" t="s">
        <v>169</v>
      </c>
      <c r="E11" s="128"/>
      <c r="F11" s="127"/>
      <c r="G11" s="127"/>
      <c r="H11" s="127"/>
      <c r="I11" s="127"/>
      <c r="J11" s="127"/>
      <c r="K11" s="127"/>
      <c r="M11" s="117"/>
    </row>
    <row r="12" spans="1:22" ht="13.5" customHeight="1">
      <c r="A12" s="257"/>
      <c r="B12" s="123"/>
      <c r="C12" s="124"/>
      <c r="D12" s="125"/>
      <c r="E12" s="128"/>
      <c r="F12" s="127"/>
      <c r="G12" s="127"/>
      <c r="H12" s="127"/>
      <c r="I12" s="127"/>
      <c r="J12" s="127"/>
      <c r="K12" s="127"/>
    </row>
    <row r="13" spans="1:22" ht="13.5" customHeight="1">
      <c r="A13" s="257"/>
      <c r="B13" s="123"/>
      <c r="C13" s="124"/>
      <c r="D13" s="125"/>
      <c r="E13" s="129"/>
      <c r="F13" s="127"/>
      <c r="G13" s="127"/>
      <c r="H13" s="127"/>
      <c r="I13" s="127"/>
      <c r="J13" s="127"/>
      <c r="K13" s="127"/>
    </row>
    <row r="14" spans="1:22" ht="13.5" customHeight="1">
      <c r="A14" s="257"/>
      <c r="B14" s="123" t="s">
        <v>247</v>
      </c>
      <c r="C14" s="124"/>
      <c r="D14" s="125"/>
      <c r="E14" s="130"/>
      <c r="F14" s="127"/>
      <c r="G14" s="127"/>
      <c r="H14" s="127"/>
      <c r="I14" s="127"/>
      <c r="J14" s="127"/>
      <c r="K14" s="127"/>
    </row>
    <row r="15" spans="1:22" ht="13.5" customHeight="1">
      <c r="A15" s="257"/>
      <c r="B15" s="123"/>
      <c r="C15" s="124"/>
      <c r="D15" s="125" t="s">
        <v>248</v>
      </c>
      <c r="E15" s="130"/>
      <c r="F15" s="127" t="s">
        <v>144</v>
      </c>
      <c r="G15" s="127" t="s">
        <v>144</v>
      </c>
      <c r="H15" s="127" t="s">
        <v>144</v>
      </c>
      <c r="I15" s="127" t="s">
        <v>144</v>
      </c>
      <c r="J15" s="127" t="s">
        <v>144</v>
      </c>
      <c r="K15" s="127" t="s">
        <v>144</v>
      </c>
      <c r="N15" s="117"/>
    </row>
    <row r="16" spans="1:22" ht="13.5" customHeight="1">
      <c r="A16" s="257"/>
      <c r="B16" s="123" t="s">
        <v>177</v>
      </c>
      <c r="C16" s="124"/>
      <c r="D16" s="125"/>
      <c r="E16" s="130"/>
      <c r="F16" s="127"/>
      <c r="G16" s="127"/>
      <c r="H16" s="127"/>
      <c r="I16" s="127"/>
      <c r="J16" s="127"/>
      <c r="K16" s="127"/>
      <c r="L16" s="131"/>
    </row>
    <row r="17" spans="1:11" ht="13.5" customHeight="1">
      <c r="A17" s="257"/>
      <c r="B17" s="123"/>
      <c r="C17" s="124"/>
      <c r="D17" s="395" t="s">
        <v>249</v>
      </c>
      <c r="E17" s="395"/>
      <c r="F17" s="127" t="s">
        <v>144</v>
      </c>
      <c r="G17" s="127"/>
      <c r="H17" s="127" t="s">
        <v>144</v>
      </c>
      <c r="I17" s="127" t="s">
        <v>144</v>
      </c>
      <c r="J17" s="127" t="s">
        <v>144</v>
      </c>
      <c r="K17" s="127" t="s">
        <v>144</v>
      </c>
    </row>
    <row r="18" spans="1:11" ht="13.5" customHeight="1">
      <c r="A18" s="257"/>
      <c r="B18" s="123"/>
      <c r="C18" s="124"/>
      <c r="D18" s="125" t="s">
        <v>250</v>
      </c>
      <c r="E18" s="130"/>
      <c r="F18" s="127"/>
      <c r="G18" s="127" t="s">
        <v>144</v>
      </c>
      <c r="H18" s="127"/>
      <c r="I18" s="127"/>
      <c r="J18" s="127"/>
      <c r="K18" s="127"/>
    </row>
    <row r="19" spans="1:11" ht="13.5" customHeight="1">
      <c r="A19" s="257"/>
      <c r="B19" s="123" t="s">
        <v>179</v>
      </c>
      <c r="C19" s="124"/>
      <c r="D19" s="125"/>
      <c r="E19" s="130"/>
      <c r="F19" s="127"/>
      <c r="G19" s="127"/>
      <c r="H19" s="127"/>
      <c r="I19" s="127"/>
      <c r="J19" s="127"/>
      <c r="K19" s="127"/>
    </row>
    <row r="20" spans="1:11" ht="13.5" customHeight="1">
      <c r="A20" s="257"/>
      <c r="B20" s="123"/>
      <c r="C20" s="124"/>
      <c r="D20" s="125">
        <v>70312</v>
      </c>
      <c r="E20" s="130"/>
      <c r="F20" s="127" t="s">
        <v>144</v>
      </c>
      <c r="G20" s="127" t="s">
        <v>144</v>
      </c>
      <c r="H20" s="127"/>
      <c r="I20" s="127" t="s">
        <v>144</v>
      </c>
      <c r="J20" s="127" t="s">
        <v>144</v>
      </c>
      <c r="K20" s="127" t="s">
        <v>144</v>
      </c>
    </row>
    <row r="21" spans="1:11" ht="13.5" customHeight="1">
      <c r="A21" s="257"/>
      <c r="B21" s="123"/>
      <c r="C21" s="124"/>
      <c r="D21" s="125" t="s">
        <v>251</v>
      </c>
      <c r="E21" s="130"/>
      <c r="F21" s="127"/>
      <c r="G21" s="127"/>
      <c r="H21" s="127" t="s">
        <v>144</v>
      </c>
      <c r="I21" s="127"/>
      <c r="J21" s="127"/>
      <c r="K21" s="127"/>
    </row>
    <row r="22" spans="1:11" ht="13.5" customHeight="1">
      <c r="A22" s="257"/>
      <c r="B22" s="123" t="s">
        <v>181</v>
      </c>
      <c r="C22" s="124"/>
      <c r="D22" s="125"/>
      <c r="E22" s="130"/>
      <c r="F22" s="127"/>
      <c r="G22" s="127"/>
      <c r="H22" s="127"/>
      <c r="I22" s="127"/>
      <c r="J22" s="127"/>
      <c r="K22" s="127"/>
    </row>
    <row r="23" spans="1:11" ht="13.5" customHeight="1">
      <c r="A23" s="257"/>
      <c r="B23" s="123"/>
      <c r="C23" s="124"/>
      <c r="D23" s="125">
        <v>1989</v>
      </c>
      <c r="E23" s="130"/>
      <c r="F23" s="127" t="s">
        <v>144</v>
      </c>
      <c r="G23" s="127" t="s">
        <v>144</v>
      </c>
      <c r="H23" s="127" t="s">
        <v>144</v>
      </c>
      <c r="I23" s="127"/>
      <c r="J23" s="127" t="s">
        <v>144</v>
      </c>
      <c r="K23" s="127" t="s">
        <v>144</v>
      </c>
    </row>
    <row r="24" spans="1:11" ht="13.5" customHeight="1">
      <c r="A24" s="257"/>
      <c r="B24" s="123"/>
      <c r="C24" s="124"/>
      <c r="D24" s="125" t="s">
        <v>252</v>
      </c>
      <c r="E24" s="130"/>
      <c r="F24" s="127"/>
      <c r="G24" s="127"/>
      <c r="H24" s="127"/>
      <c r="I24" s="127" t="s">
        <v>144</v>
      </c>
      <c r="J24" s="127"/>
      <c r="K24" s="127"/>
    </row>
    <row r="25" spans="1:11" ht="13.5" customHeight="1">
      <c r="A25" s="257"/>
      <c r="B25" s="123" t="s">
        <v>253</v>
      </c>
      <c r="C25" s="124"/>
      <c r="D25" s="125"/>
      <c r="E25" s="130"/>
      <c r="F25" s="127"/>
      <c r="G25" s="127"/>
      <c r="H25" s="127"/>
      <c r="I25" s="127"/>
      <c r="J25" s="127"/>
      <c r="K25" s="127"/>
    </row>
    <row r="26" spans="1:11" ht="13.5" customHeight="1">
      <c r="A26" s="257"/>
      <c r="B26" s="123"/>
      <c r="C26" s="124"/>
      <c r="D26" s="125">
        <v>264</v>
      </c>
      <c r="E26" s="130"/>
      <c r="F26" s="127" t="s">
        <v>144</v>
      </c>
      <c r="G26" s="127" t="s">
        <v>144</v>
      </c>
      <c r="H26" s="127" t="s">
        <v>144</v>
      </c>
      <c r="I26" s="127" t="s">
        <v>144</v>
      </c>
      <c r="J26" s="127"/>
      <c r="K26" s="127" t="s">
        <v>144</v>
      </c>
    </row>
    <row r="27" spans="1:11" ht="13.5" customHeight="1">
      <c r="A27" s="257"/>
      <c r="B27" s="494"/>
      <c r="C27" s="495"/>
      <c r="D27" s="496" t="s">
        <v>254</v>
      </c>
      <c r="E27" s="130"/>
      <c r="F27" s="249"/>
      <c r="G27" s="249"/>
      <c r="H27" s="249"/>
      <c r="I27" s="249"/>
      <c r="J27" s="249" t="s">
        <v>144</v>
      </c>
      <c r="K27" s="249"/>
    </row>
    <row r="28" spans="1:11" ht="13.5" customHeight="1">
      <c r="A28" s="257"/>
      <c r="B28" s="494" t="s">
        <v>255</v>
      </c>
      <c r="C28" s="495"/>
      <c r="D28" s="496"/>
      <c r="E28" s="130"/>
      <c r="F28" s="249"/>
      <c r="G28" s="249"/>
      <c r="H28" s="249"/>
      <c r="I28" s="249"/>
      <c r="J28" s="249"/>
      <c r="K28" s="249"/>
    </row>
    <row r="29" spans="1:11" ht="13.5" customHeight="1">
      <c r="A29" s="257"/>
      <c r="B29" s="494"/>
      <c r="C29" s="495"/>
      <c r="D29" s="496">
        <v>1</v>
      </c>
      <c r="E29" s="130"/>
      <c r="F29" s="249" t="s">
        <v>144</v>
      </c>
      <c r="G29" s="249" t="s">
        <v>144</v>
      </c>
      <c r="H29" s="249" t="s">
        <v>144</v>
      </c>
      <c r="I29" s="249" t="s">
        <v>144</v>
      </c>
      <c r="J29" s="249" t="s">
        <v>144</v>
      </c>
      <c r="K29" s="249"/>
    </row>
    <row r="30" spans="1:11" ht="13.5" customHeight="1">
      <c r="A30" s="257"/>
      <c r="B30" s="132"/>
      <c r="C30" s="133"/>
      <c r="D30" s="134">
        <v>0</v>
      </c>
      <c r="E30" s="135"/>
      <c r="F30" s="136"/>
      <c r="G30" s="136"/>
      <c r="H30" s="136"/>
      <c r="I30" s="136"/>
      <c r="J30" s="136"/>
      <c r="K30" s="136" t="s">
        <v>144</v>
      </c>
    </row>
    <row r="31" spans="1:11" ht="13.5" customHeight="1">
      <c r="A31" s="258" t="s">
        <v>147</v>
      </c>
      <c r="B31" s="137" t="s">
        <v>198</v>
      </c>
      <c r="C31" s="138"/>
      <c r="D31" s="139"/>
      <c r="E31" s="140"/>
      <c r="F31" s="141"/>
      <c r="G31" s="141"/>
      <c r="H31" s="141"/>
      <c r="I31" s="141"/>
      <c r="J31" s="141"/>
      <c r="K31" s="141"/>
    </row>
    <row r="32" spans="1:11" ht="13.5" customHeight="1">
      <c r="A32" s="259"/>
      <c r="B32" s="142"/>
      <c r="C32" s="143"/>
      <c r="D32" s="144">
        <v>1</v>
      </c>
      <c r="E32" s="145"/>
      <c r="F32" s="127" t="s">
        <v>144</v>
      </c>
      <c r="G32" s="127"/>
      <c r="H32" s="127"/>
      <c r="I32" s="127"/>
      <c r="J32" s="127"/>
      <c r="K32" s="127"/>
    </row>
    <row r="33" spans="1:11" ht="13.5" customHeight="1">
      <c r="A33" s="259"/>
      <c r="B33" s="142"/>
      <c r="C33" s="146"/>
      <c r="D33" s="144">
        <v>2</v>
      </c>
      <c r="E33" s="147"/>
      <c r="F33" s="127"/>
      <c r="G33" s="127" t="s">
        <v>144</v>
      </c>
      <c r="H33" s="127" t="s">
        <v>144</v>
      </c>
      <c r="I33" s="127" t="s">
        <v>144</v>
      </c>
      <c r="J33" s="127" t="s">
        <v>144</v>
      </c>
      <c r="K33" s="127" t="s">
        <v>144</v>
      </c>
    </row>
    <row r="34" spans="1:11" ht="13.5" customHeight="1">
      <c r="A34" s="259"/>
      <c r="B34" s="142" t="s">
        <v>201</v>
      </c>
      <c r="C34" s="146"/>
      <c r="D34" s="144"/>
      <c r="E34" s="147"/>
      <c r="F34" s="127"/>
      <c r="G34" s="127"/>
      <c r="H34" s="127"/>
      <c r="I34" s="127"/>
      <c r="J34" s="127"/>
      <c r="K34" s="127"/>
    </row>
    <row r="35" spans="1:11" ht="13.5" customHeight="1">
      <c r="A35" s="259"/>
      <c r="B35" s="142"/>
      <c r="C35" s="146"/>
      <c r="D35" s="144" t="s">
        <v>256</v>
      </c>
      <c r="E35" s="147"/>
      <c r="F35" s="127"/>
      <c r="G35" s="127"/>
      <c r="H35" s="127"/>
      <c r="I35" s="127"/>
      <c r="J35" s="127"/>
      <c r="K35" s="127" t="s">
        <v>144</v>
      </c>
    </row>
    <row r="36" spans="1:11" ht="13.5" customHeight="1">
      <c r="A36" s="259"/>
      <c r="B36" s="142"/>
      <c r="C36" s="146"/>
      <c r="D36" s="144" t="s">
        <v>257</v>
      </c>
      <c r="E36" s="147"/>
      <c r="F36" s="127"/>
      <c r="G36" s="127" t="s">
        <v>144</v>
      </c>
      <c r="H36" s="127"/>
      <c r="I36" s="127"/>
      <c r="J36" s="127"/>
      <c r="K36" s="127"/>
    </row>
    <row r="37" spans="1:11" ht="13.5" customHeight="1">
      <c r="A37" s="259"/>
      <c r="B37" s="142"/>
      <c r="C37" s="146"/>
      <c r="D37" s="144" t="s">
        <v>258</v>
      </c>
      <c r="E37" s="147"/>
      <c r="F37" s="127"/>
      <c r="G37" s="127"/>
      <c r="H37" s="127"/>
      <c r="I37" s="127"/>
      <c r="J37" s="127" t="s">
        <v>144</v>
      </c>
      <c r="K37" s="127"/>
    </row>
    <row r="38" spans="1:11" ht="13.5" customHeight="1">
      <c r="A38" s="259"/>
      <c r="B38" s="142"/>
      <c r="C38" s="146"/>
      <c r="D38" s="144" t="s">
        <v>259</v>
      </c>
      <c r="E38" s="147"/>
      <c r="F38" s="127"/>
      <c r="G38" s="127"/>
      <c r="H38" s="127"/>
      <c r="I38" s="127"/>
      <c r="J38" s="127"/>
      <c r="K38" s="127"/>
    </row>
    <row r="39" spans="1:11" ht="13.5" customHeight="1">
      <c r="A39" s="259"/>
      <c r="B39" s="142"/>
      <c r="C39" s="146"/>
      <c r="D39" s="144" t="s">
        <v>260</v>
      </c>
      <c r="E39" s="147"/>
      <c r="F39" s="127"/>
      <c r="G39" s="127"/>
      <c r="H39" s="127" t="s">
        <v>144</v>
      </c>
      <c r="I39" s="127"/>
      <c r="J39" s="127"/>
      <c r="K39" s="127"/>
    </row>
    <row r="40" spans="1:11" ht="13.5" customHeight="1">
      <c r="A40" s="259"/>
      <c r="B40" s="142"/>
      <c r="C40" s="146"/>
      <c r="D40" s="144" t="s">
        <v>261</v>
      </c>
      <c r="E40" s="147"/>
      <c r="F40" s="127"/>
      <c r="G40" s="127"/>
      <c r="H40" s="127"/>
      <c r="I40" s="127" t="s">
        <v>144</v>
      </c>
      <c r="J40" s="127"/>
      <c r="K40" s="127"/>
    </row>
    <row r="41" spans="1:11" ht="13.5" customHeight="1">
      <c r="A41" s="259"/>
      <c r="B41" s="142" t="s">
        <v>202</v>
      </c>
      <c r="C41" s="146"/>
      <c r="D41" s="144"/>
      <c r="E41" s="147"/>
      <c r="F41" s="127"/>
      <c r="G41" s="127"/>
      <c r="H41" s="127"/>
      <c r="I41" s="127"/>
      <c r="J41" s="127"/>
      <c r="K41" s="127"/>
    </row>
    <row r="42" spans="1:11" ht="13.5" customHeight="1">
      <c r="A42" s="259"/>
      <c r="B42" s="142"/>
      <c r="C42" s="146"/>
      <c r="D42" s="144" t="s">
        <v>213</v>
      </c>
      <c r="E42" s="147"/>
      <c r="F42" s="127" t="s">
        <v>144</v>
      </c>
      <c r="G42" s="127"/>
      <c r="H42" s="127"/>
      <c r="I42" s="127"/>
      <c r="J42" s="127"/>
      <c r="K42" s="127"/>
    </row>
    <row r="43" spans="1:11" ht="13.5" customHeight="1">
      <c r="A43" s="259"/>
      <c r="B43" s="245"/>
      <c r="C43" s="506"/>
      <c r="D43" s="247" t="s">
        <v>262</v>
      </c>
      <c r="E43" s="507"/>
      <c r="F43" s="249"/>
      <c r="G43" s="249"/>
      <c r="H43" s="249"/>
      <c r="I43" s="249"/>
      <c r="J43" s="249"/>
      <c r="K43" s="249" t="s">
        <v>144</v>
      </c>
    </row>
    <row r="44" spans="1:11" ht="13.5" customHeight="1">
      <c r="A44" s="259"/>
      <c r="B44" s="245"/>
      <c r="C44" s="506"/>
      <c r="D44" s="247" t="s">
        <v>206</v>
      </c>
      <c r="E44" s="507"/>
      <c r="F44" s="249"/>
      <c r="G44" s="249" t="s">
        <v>144</v>
      </c>
      <c r="H44" s="249"/>
      <c r="I44" s="249"/>
      <c r="J44" s="249"/>
      <c r="K44" s="249"/>
    </row>
    <row r="45" spans="1:11" ht="13.5" customHeight="1">
      <c r="A45" s="259"/>
      <c r="B45" s="245"/>
      <c r="C45" s="506"/>
      <c r="D45" s="247" t="s">
        <v>263</v>
      </c>
      <c r="E45" s="507"/>
      <c r="F45" s="249"/>
      <c r="G45" s="249"/>
      <c r="H45" s="249" t="s">
        <v>144</v>
      </c>
      <c r="I45" s="249"/>
      <c r="J45" s="249"/>
      <c r="K45" s="249"/>
    </row>
    <row r="46" spans="1:11" ht="13.5" customHeight="1">
      <c r="A46" s="259"/>
      <c r="B46" s="245"/>
      <c r="C46" s="506"/>
      <c r="D46" s="247" t="s">
        <v>264</v>
      </c>
      <c r="E46" s="507"/>
      <c r="F46" s="249"/>
      <c r="G46" s="249"/>
      <c r="H46" s="249"/>
      <c r="I46" s="249" t="s">
        <v>144</v>
      </c>
      <c r="J46" s="249"/>
      <c r="K46" s="249"/>
    </row>
    <row r="47" spans="1:11" ht="13.5" customHeight="1">
      <c r="A47" s="259"/>
      <c r="B47" s="245"/>
      <c r="C47" s="506"/>
      <c r="D47" s="247" t="s">
        <v>265</v>
      </c>
      <c r="E47" s="507"/>
      <c r="F47" s="249"/>
      <c r="G47" s="249"/>
      <c r="H47" s="249"/>
      <c r="I47" s="249"/>
      <c r="J47" s="249" t="s">
        <v>144</v>
      </c>
      <c r="K47" s="249"/>
    </row>
    <row r="48" spans="1:11" ht="13.5" customHeight="1">
      <c r="A48" s="259"/>
      <c r="B48" s="245"/>
      <c r="C48" s="246"/>
      <c r="D48" s="247" t="s">
        <v>246</v>
      </c>
      <c r="E48" s="248"/>
      <c r="F48" s="249"/>
      <c r="G48" s="249"/>
      <c r="H48" s="249"/>
      <c r="I48" s="249"/>
      <c r="J48" s="249"/>
      <c r="K48" s="249"/>
    </row>
    <row r="49" spans="1:14" ht="13.5" customHeight="1">
      <c r="A49" s="258" t="s">
        <v>158</v>
      </c>
      <c r="B49" s="391" t="s">
        <v>159</v>
      </c>
      <c r="C49" s="391"/>
      <c r="D49" s="391"/>
      <c r="E49" s="307"/>
      <c r="F49" s="250" t="s">
        <v>111</v>
      </c>
      <c r="G49" s="250" t="s">
        <v>111</v>
      </c>
      <c r="H49" s="250" t="s">
        <v>111</v>
      </c>
      <c r="I49" s="250" t="s">
        <v>111</v>
      </c>
      <c r="J49" s="250" t="s">
        <v>111</v>
      </c>
      <c r="K49" s="250" t="s">
        <v>112</v>
      </c>
    </row>
    <row r="50" spans="1:14" ht="13.5" customHeight="1">
      <c r="A50" s="260"/>
      <c r="B50" s="408" t="s">
        <v>160</v>
      </c>
      <c r="C50" s="408"/>
      <c r="D50" s="408"/>
      <c r="E50" s="149"/>
      <c r="F50" s="148" t="s">
        <v>216</v>
      </c>
      <c r="G50" s="148" t="s">
        <v>216</v>
      </c>
      <c r="H50" s="148" t="s">
        <v>216</v>
      </c>
      <c r="I50" s="148" t="s">
        <v>216</v>
      </c>
      <c r="J50" s="148" t="s">
        <v>216</v>
      </c>
      <c r="K50" s="148" t="s">
        <v>200</v>
      </c>
    </row>
    <row r="51" spans="1:14" ht="54">
      <c r="A51" s="215"/>
      <c r="B51" s="339" t="s">
        <v>161</v>
      </c>
      <c r="C51" s="339"/>
      <c r="D51" s="339"/>
      <c r="E51" s="113"/>
      <c r="F51" s="114">
        <v>45786</v>
      </c>
      <c r="G51" s="114">
        <v>45786</v>
      </c>
      <c r="H51" s="114">
        <v>45786</v>
      </c>
      <c r="I51" s="114">
        <v>45786</v>
      </c>
      <c r="J51" s="114">
        <v>45786</v>
      </c>
      <c r="K51" s="114">
        <v>45786</v>
      </c>
      <c r="L51" s="78"/>
      <c r="M51" s="78"/>
      <c r="N51" s="78"/>
    </row>
    <row r="52" spans="1:14" ht="75">
      <c r="A52" s="261"/>
      <c r="B52" s="390" t="s">
        <v>162</v>
      </c>
      <c r="C52" s="390"/>
      <c r="D52" s="390"/>
      <c r="E52" s="262"/>
      <c r="F52" s="263"/>
      <c r="G52" s="263"/>
      <c r="H52" s="263"/>
      <c r="I52" s="263"/>
      <c r="J52" s="263"/>
      <c r="K52" s="263" t="s">
        <v>266</v>
      </c>
    </row>
    <row r="53" spans="1:14" ht="10.5">
      <c r="A53" s="119"/>
      <c r="B53" s="115"/>
      <c r="C53" s="116"/>
      <c r="D53" s="115"/>
    </row>
  </sheetData>
  <mergeCells count="28">
    <mergeCell ref="L2:T2"/>
    <mergeCell ref="C2:D2"/>
    <mergeCell ref="F6:K6"/>
    <mergeCell ref="F4:K4"/>
    <mergeCell ref="O6:T6"/>
    <mergeCell ref="L3:N3"/>
    <mergeCell ref="L4:T4"/>
    <mergeCell ref="C4:D4"/>
    <mergeCell ref="A2:B2"/>
    <mergeCell ref="F2:K2"/>
    <mergeCell ref="B50:D50"/>
    <mergeCell ref="B51:D51"/>
    <mergeCell ref="C7:E7"/>
    <mergeCell ref="A7:B7"/>
    <mergeCell ref="C6:E6"/>
    <mergeCell ref="F3:K3"/>
    <mergeCell ref="A3:B3"/>
    <mergeCell ref="A4:B4"/>
    <mergeCell ref="B52:D52"/>
    <mergeCell ref="B49:D49"/>
    <mergeCell ref="C3:E3"/>
    <mergeCell ref="D17:E17"/>
    <mergeCell ref="A6:B6"/>
    <mergeCell ref="A5:B5"/>
    <mergeCell ref="C5:T5"/>
    <mergeCell ref="L6:N6"/>
    <mergeCell ref="O7:T7"/>
    <mergeCell ref="F7:K7"/>
  </mergeCells>
  <phoneticPr fontId="34" type="noConversion"/>
  <dataValidations disablePrompts="1" count="3">
    <dataValidation type="list" allowBlank="1" showInputMessage="1" showErrorMessage="1" sqref="F49:K49" xr:uid="{130761C5-31F3-4F8A-8815-841E0AC17253}">
      <formula1>"N,A,B, "</formula1>
    </dataValidation>
    <dataValidation type="list" allowBlank="1" showInputMessage="1" showErrorMessage="1" sqref="F50:K50" xr:uid="{0A09AEC2-3836-41E4-B338-E2AA39ACE191}">
      <formula1>"P,F, "</formula1>
    </dataValidation>
    <dataValidation type="list" allowBlank="1" showInputMessage="1" showErrorMessage="1" sqref="F10:K48" xr:uid="{F4B6D971-F41D-4240-9BF2-478E6A641E17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F3A3-1DD0-4F15-9912-0A8E7639CC5C}">
  <dimension ref="A1:W39"/>
  <sheetViews>
    <sheetView workbookViewId="0">
      <pane ySplit="9" topLeftCell="B10" activePane="bottomLeft" state="frozen"/>
      <selection pane="bottomLeft" activeCell="AB38" sqref="AB38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9" style="79" customWidth="1"/>
    <col min="5" max="5" width="1.85546875" style="78" hidden="1" customWidth="1"/>
    <col min="6" max="6" width="2.7109375" style="78" customWidth="1"/>
    <col min="7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3" ht="13.5" customHeight="1">
      <c r="A1" s="76"/>
      <c r="B1" s="77"/>
    </row>
    <row r="2" spans="1:23" ht="13.5" customHeight="1">
      <c r="A2" s="367" t="s">
        <v>121</v>
      </c>
      <c r="B2" s="368"/>
      <c r="C2" s="369">
        <f>Functions!E11</f>
        <v>0</v>
      </c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Functions!D14</f>
        <v>signup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3" ht="13.5" customHeight="1">
      <c r="A3" s="355" t="s">
        <v>122</v>
      </c>
      <c r="B3" s="356"/>
      <c r="C3" s="377" t="s">
        <v>123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/>
      <c r="M3" s="378"/>
      <c r="N3" s="378"/>
      <c r="O3" s="178"/>
      <c r="P3" s="178"/>
      <c r="Q3" s="178"/>
      <c r="R3" s="178"/>
      <c r="S3" s="178"/>
      <c r="T3" s="179"/>
    </row>
    <row r="4" spans="1:23" ht="13.5" customHeight="1">
      <c r="A4" s="355" t="s">
        <v>125</v>
      </c>
      <c r="B4" s="356"/>
      <c r="C4" s="357">
        <v>100</v>
      </c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O7),"N/A")</f>
        <v>-5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3" ht="13.5" customHeight="1">
      <c r="A5" s="355" t="s">
        <v>127</v>
      </c>
      <c r="B5" s="356"/>
      <c r="C5" s="365" t="s">
        <v>128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3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3" ht="13.5" customHeight="1">
      <c r="A7" s="345">
        <f>COUNTIF(F36:HQ36,"P")</f>
        <v>12</v>
      </c>
      <c r="B7" s="346"/>
      <c r="C7" s="347">
        <f>COUNTIF(F36:HQ36,"F")</f>
        <v>2</v>
      </c>
      <c r="D7" s="348"/>
      <c r="E7" s="346"/>
      <c r="F7" s="347">
        <f>SUM(O7,- A7,- C7)</f>
        <v>1</v>
      </c>
      <c r="G7" s="348"/>
      <c r="H7" s="348"/>
      <c r="I7" s="348"/>
      <c r="J7" s="348"/>
      <c r="K7" s="349"/>
      <c r="L7" s="180">
        <f>COUNTIF(E35:HQ35,"N")</f>
        <v>11</v>
      </c>
      <c r="M7" s="180">
        <f>COUNTIF(E35:HQ35,"A")</f>
        <v>3</v>
      </c>
      <c r="N7" s="180">
        <f>COUNTIF(E35:HQ35,"B")</f>
        <v>1</v>
      </c>
      <c r="O7" s="350">
        <f>COUNTA(E9:HT9)</f>
        <v>15</v>
      </c>
      <c r="P7" s="348"/>
      <c r="Q7" s="348"/>
      <c r="R7" s="348"/>
      <c r="S7" s="348"/>
      <c r="T7" s="351"/>
      <c r="U7" s="81"/>
    </row>
    <row r="8" spans="1:23" ht="10.5"/>
    <row r="9" spans="1:23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239" t="s">
        <v>136</v>
      </c>
      <c r="Q9" s="239" t="s">
        <v>137</v>
      </c>
      <c r="R9" s="239" t="s">
        <v>138</v>
      </c>
      <c r="S9" s="239" t="s">
        <v>139</v>
      </c>
      <c r="T9" s="240" t="s">
        <v>140</v>
      </c>
      <c r="U9" s="83"/>
      <c r="V9" s="84"/>
      <c r="W9" s="85"/>
    </row>
    <row r="10" spans="1:23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205"/>
    </row>
    <row r="11" spans="1:23" ht="13.5" customHeight="1">
      <c r="A11" s="203"/>
      <c r="B11" s="86"/>
      <c r="C11" s="87"/>
      <c r="D11" s="88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202"/>
      <c r="V11" s="80"/>
    </row>
    <row r="12" spans="1:23" ht="13.5" customHeight="1">
      <c r="A12" s="203"/>
      <c r="B12" s="474" t="s">
        <v>170</v>
      </c>
      <c r="C12" s="475"/>
      <c r="D12" s="475"/>
      <c r="E12" s="91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202"/>
    </row>
    <row r="13" spans="1:23" ht="13.5" customHeight="1">
      <c r="A13" s="203"/>
      <c r="B13" s="86"/>
      <c r="C13" s="87"/>
      <c r="D13" s="88"/>
      <c r="E13" s="9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202"/>
    </row>
    <row r="14" spans="1:23" ht="13.5" customHeight="1">
      <c r="A14" s="203"/>
      <c r="B14" s="86" t="s">
        <v>171</v>
      </c>
      <c r="C14" s="87"/>
      <c r="D14" s="88"/>
      <c r="E14" s="93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202"/>
    </row>
    <row r="15" spans="1:23" ht="13.5" customHeight="1">
      <c r="A15" s="203"/>
      <c r="B15" s="451" t="s">
        <v>267</v>
      </c>
      <c r="C15" s="437"/>
      <c r="D15" s="436"/>
      <c r="E15" s="93"/>
      <c r="F15" s="172" t="s">
        <v>144</v>
      </c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202"/>
    </row>
    <row r="16" spans="1:23" ht="13.5" customHeight="1">
      <c r="A16" s="203"/>
      <c r="B16" s="485" t="s">
        <v>268</v>
      </c>
      <c r="C16" s="486"/>
      <c r="D16" s="484"/>
      <c r="E16" s="93"/>
      <c r="F16" s="172"/>
      <c r="G16" s="172" t="s">
        <v>144</v>
      </c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202"/>
    </row>
    <row r="17" spans="1:21" ht="13.5" customHeight="1">
      <c r="A17" s="203"/>
      <c r="B17" s="86" t="s">
        <v>174</v>
      </c>
      <c r="C17" s="87"/>
      <c r="D17" s="88"/>
      <c r="E17" s="9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202"/>
      <c r="U17" s="173"/>
    </row>
    <row r="18" spans="1:21" ht="13.5" customHeight="1">
      <c r="A18" s="203"/>
      <c r="B18" s="488" t="s">
        <v>269</v>
      </c>
      <c r="C18" s="489"/>
      <c r="D18" s="489"/>
      <c r="E18" s="445"/>
      <c r="F18" s="172" t="s">
        <v>144</v>
      </c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202"/>
    </row>
    <row r="19" spans="1:21" ht="13.5" customHeight="1">
      <c r="A19" s="203"/>
      <c r="B19" s="485" t="s">
        <v>268</v>
      </c>
      <c r="C19" s="486"/>
      <c r="D19" s="484"/>
      <c r="E19" s="93"/>
      <c r="F19" s="172"/>
      <c r="G19" s="172" t="s">
        <v>144</v>
      </c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202"/>
    </row>
    <row r="20" spans="1:21" ht="13.5" customHeight="1">
      <c r="A20" s="203"/>
      <c r="B20" s="485" t="s">
        <v>270</v>
      </c>
      <c r="C20" s="486"/>
      <c r="D20" s="484"/>
      <c r="E20" s="93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202"/>
    </row>
    <row r="21" spans="1:21" ht="13.5" customHeight="1">
      <c r="A21" s="203"/>
      <c r="B21" s="86" t="s">
        <v>271</v>
      </c>
      <c r="C21" s="87"/>
      <c r="D21" s="88"/>
      <c r="E21" s="93"/>
      <c r="F21" s="172" t="s">
        <v>144</v>
      </c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202"/>
    </row>
    <row r="22" spans="1:21" ht="13.5" customHeight="1">
      <c r="A22" s="203"/>
      <c r="B22" s="485" t="s">
        <v>272</v>
      </c>
      <c r="C22" s="486"/>
      <c r="D22" s="484"/>
      <c r="E22" s="93"/>
      <c r="F22" s="172"/>
      <c r="G22" s="172" t="s">
        <v>144</v>
      </c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202"/>
    </row>
    <row r="23" spans="1:21" ht="13.5" customHeight="1">
      <c r="A23" s="203"/>
      <c r="B23" s="485" t="s">
        <v>268</v>
      </c>
      <c r="C23" s="486"/>
      <c r="D23" s="484"/>
      <c r="E23" s="93"/>
      <c r="F23" s="172"/>
      <c r="G23" s="172" t="s">
        <v>144</v>
      </c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202"/>
    </row>
    <row r="24" spans="1:21" ht="13.5" customHeight="1">
      <c r="A24" s="203"/>
      <c r="B24" s="86" t="s">
        <v>273</v>
      </c>
      <c r="C24" s="87"/>
      <c r="D24" s="88"/>
      <c r="E24" s="93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202"/>
    </row>
    <row r="25" spans="1:21" ht="13.5" customHeight="1">
      <c r="A25" s="203"/>
      <c r="B25" s="451" t="s">
        <v>274</v>
      </c>
      <c r="C25" s="437"/>
      <c r="D25" s="436"/>
      <c r="E25" s="93"/>
      <c r="F25" s="490" t="s">
        <v>144</v>
      </c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202"/>
    </row>
    <row r="26" spans="1:21" ht="13.5" customHeight="1">
      <c r="A26" s="203"/>
      <c r="B26" s="451" t="s">
        <v>275</v>
      </c>
      <c r="C26" s="437"/>
      <c r="D26" s="436"/>
      <c r="E26" s="93"/>
      <c r="F26" s="172"/>
      <c r="G26" s="172" t="s">
        <v>144</v>
      </c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202"/>
    </row>
    <row r="27" spans="1:21" ht="13.5" customHeight="1">
      <c r="A27" s="215"/>
      <c r="B27" s="100" t="s">
        <v>198</v>
      </c>
      <c r="C27" s="101"/>
      <c r="D27" s="102"/>
      <c r="E27" s="108"/>
      <c r="F27" s="172" t="s">
        <v>144</v>
      </c>
      <c r="G27" s="172" t="s">
        <v>144</v>
      </c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202"/>
    </row>
    <row r="28" spans="1:21" ht="13.5" customHeight="1">
      <c r="A28" s="215"/>
      <c r="B28" s="105"/>
      <c r="C28" s="106"/>
      <c r="D28" s="107" t="s">
        <v>276</v>
      </c>
      <c r="E28" s="110"/>
      <c r="F28" s="490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202"/>
    </row>
    <row r="29" spans="1:21" ht="13.5" customHeight="1">
      <c r="A29" s="215"/>
      <c r="B29" s="105"/>
      <c r="C29" s="176"/>
      <c r="D29" s="107"/>
      <c r="E29" s="110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202"/>
    </row>
    <row r="30" spans="1:21" ht="13.5" customHeight="1">
      <c r="A30" s="215"/>
      <c r="B30" s="105" t="s">
        <v>201</v>
      </c>
      <c r="C30" s="176"/>
      <c r="D30" s="107"/>
      <c r="E30" s="110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202"/>
    </row>
    <row r="31" spans="1:21" ht="13.5" customHeight="1">
      <c r="A31" s="215"/>
      <c r="B31" s="105"/>
      <c r="C31" s="176"/>
      <c r="D31" s="107"/>
      <c r="E31" s="110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202"/>
    </row>
    <row r="32" spans="1:21" ht="13.5" customHeight="1">
      <c r="A32" s="215"/>
      <c r="B32" s="105" t="s">
        <v>202</v>
      </c>
      <c r="C32" s="176"/>
      <c r="D32" s="107"/>
      <c r="E32" s="110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202"/>
    </row>
    <row r="33" spans="1:20" ht="13.5" customHeight="1">
      <c r="A33" s="215"/>
      <c r="B33" s="105"/>
      <c r="C33" s="176"/>
      <c r="D33" s="107" t="s">
        <v>277</v>
      </c>
      <c r="E33" s="2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206"/>
    </row>
    <row r="34" spans="1:20" ht="13.5" customHeight="1">
      <c r="A34" s="215"/>
      <c r="B34" s="498" t="s">
        <v>278</v>
      </c>
      <c r="C34" s="499"/>
      <c r="D34" s="497"/>
      <c r="E34" s="193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206"/>
    </row>
    <row r="35" spans="1:20" ht="13.5" customHeight="1">
      <c r="A35" s="216" t="s">
        <v>158</v>
      </c>
      <c r="B35" s="190"/>
      <c r="C35" s="191"/>
      <c r="D35" s="192" t="s">
        <v>246</v>
      </c>
      <c r="E35" s="306"/>
      <c r="F35" s="195" t="s">
        <v>62</v>
      </c>
      <c r="G35" s="195" t="s">
        <v>111</v>
      </c>
      <c r="H35" s="195" t="s">
        <v>111</v>
      </c>
      <c r="I35" s="195" t="s">
        <v>111</v>
      </c>
      <c r="J35" s="195" t="s">
        <v>111</v>
      </c>
      <c r="K35" s="195" t="s">
        <v>112</v>
      </c>
      <c r="L35" s="195" t="s">
        <v>62</v>
      </c>
      <c r="M35" s="195" t="s">
        <v>111</v>
      </c>
      <c r="N35" s="195" t="s">
        <v>111</v>
      </c>
      <c r="O35" s="195" t="s">
        <v>111</v>
      </c>
      <c r="P35" s="195" t="s">
        <v>111</v>
      </c>
      <c r="Q35" s="195" t="s">
        <v>111</v>
      </c>
      <c r="R35" s="195" t="s">
        <v>62</v>
      </c>
      <c r="S35" s="195" t="s">
        <v>111</v>
      </c>
      <c r="T35" s="207" t="s">
        <v>111</v>
      </c>
    </row>
    <row r="36" spans="1:20" ht="13.5" customHeight="1">
      <c r="A36" s="215"/>
      <c r="B36" s="337" t="s">
        <v>159</v>
      </c>
      <c r="C36" s="337"/>
      <c r="D36" s="337"/>
      <c r="E36" s="112"/>
      <c r="F36" s="177" t="s">
        <v>216</v>
      </c>
      <c r="G36" s="177" t="s">
        <v>216</v>
      </c>
      <c r="H36" s="177" t="s">
        <v>216</v>
      </c>
      <c r="I36" s="177" t="s">
        <v>216</v>
      </c>
      <c r="J36" s="177" t="s">
        <v>216</v>
      </c>
      <c r="K36" s="177" t="s">
        <v>200</v>
      </c>
      <c r="L36" s="177" t="s">
        <v>200</v>
      </c>
      <c r="M36" s="177" t="s">
        <v>216</v>
      </c>
      <c r="N36" s="177" t="s">
        <v>216</v>
      </c>
      <c r="O36" s="177" t="s">
        <v>216</v>
      </c>
      <c r="P36" s="177" t="s">
        <v>216</v>
      </c>
      <c r="Q36" s="177" t="s">
        <v>216</v>
      </c>
      <c r="R36" s="177"/>
      <c r="S36" s="177" t="s">
        <v>216</v>
      </c>
      <c r="T36" s="209" t="s">
        <v>216</v>
      </c>
    </row>
    <row r="37" spans="1:20" ht="13.5" customHeight="1">
      <c r="A37" s="215"/>
      <c r="B37" s="338" t="s">
        <v>160</v>
      </c>
      <c r="C37" s="338"/>
      <c r="D37" s="338"/>
      <c r="E37" s="113"/>
      <c r="F37" s="114">
        <v>39139</v>
      </c>
      <c r="G37" s="114">
        <v>39139</v>
      </c>
      <c r="H37" s="114">
        <v>39140</v>
      </c>
      <c r="I37" s="114">
        <v>39141</v>
      </c>
      <c r="J37" s="114">
        <v>39142</v>
      </c>
      <c r="K37" s="114">
        <v>39143</v>
      </c>
      <c r="L37" s="114">
        <v>39144</v>
      </c>
      <c r="M37" s="114">
        <v>39145</v>
      </c>
      <c r="N37" s="114">
        <v>39146</v>
      </c>
      <c r="O37" s="114">
        <v>39147</v>
      </c>
      <c r="P37" s="114">
        <v>39148</v>
      </c>
      <c r="Q37" s="114">
        <v>39149</v>
      </c>
      <c r="R37" s="114">
        <v>39150</v>
      </c>
      <c r="S37" s="114">
        <v>39151</v>
      </c>
      <c r="T37" s="210">
        <v>39152</v>
      </c>
    </row>
    <row r="38" spans="1:20" ht="75">
      <c r="A38" s="234"/>
      <c r="B38" s="339" t="s">
        <v>161</v>
      </c>
      <c r="C38" s="339"/>
      <c r="D38" s="339"/>
      <c r="E38" s="212"/>
      <c r="F38" s="213"/>
      <c r="G38" s="213"/>
      <c r="H38" s="213"/>
      <c r="I38" s="213"/>
      <c r="J38" s="213"/>
      <c r="K38" s="213" t="s">
        <v>218</v>
      </c>
      <c r="L38" s="213" t="s">
        <v>279</v>
      </c>
      <c r="M38" s="213" t="s">
        <v>280</v>
      </c>
      <c r="N38" s="213" t="s">
        <v>281</v>
      </c>
      <c r="O38" s="213" t="s">
        <v>282</v>
      </c>
      <c r="P38" s="213" t="s">
        <v>283</v>
      </c>
      <c r="Q38" s="213" t="s">
        <v>284</v>
      </c>
      <c r="R38" s="213" t="s">
        <v>285</v>
      </c>
      <c r="S38" s="213" t="s">
        <v>217</v>
      </c>
      <c r="T38" s="214" t="s">
        <v>286</v>
      </c>
    </row>
    <row r="39" spans="1:20" ht="10.5">
      <c r="A39" s="196"/>
      <c r="B39" s="335" t="s">
        <v>162</v>
      </c>
      <c r="C39" s="335"/>
      <c r="D39" s="335"/>
    </row>
  </sheetData>
  <mergeCells count="38">
    <mergeCell ref="B12:D12"/>
    <mergeCell ref="B15:D15"/>
    <mergeCell ref="B16:D16"/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6:D36"/>
    <mergeCell ref="B37:D37"/>
    <mergeCell ref="B38:D38"/>
    <mergeCell ref="B39:D39"/>
    <mergeCell ref="B20:D20"/>
    <mergeCell ref="B18:D18"/>
    <mergeCell ref="B22:D22"/>
    <mergeCell ref="B23:D23"/>
    <mergeCell ref="B19:D19"/>
    <mergeCell ref="B25:D25"/>
    <mergeCell ref="B26:D26"/>
    <mergeCell ref="B34:D34"/>
  </mergeCells>
  <phoneticPr fontId="34" type="noConversion"/>
  <dataValidations count="3">
    <dataValidation type="list" allowBlank="1" showInputMessage="1" showErrorMessage="1" sqref="F36:T36" xr:uid="{9DA39F17-98E4-4140-8EE2-854DF97A88FF}">
      <formula1>"P,F, "</formula1>
    </dataValidation>
    <dataValidation type="list" allowBlank="1" showInputMessage="1" showErrorMessage="1" sqref="F35:T35" xr:uid="{4920F9FE-4FC1-4D81-BA1B-9B1EEB9BB4CC}">
      <formula1>"N,A,B, "</formula1>
    </dataValidation>
    <dataValidation type="list" allowBlank="1" showInputMessage="1" showErrorMessage="1" sqref="F10:T34" xr:uid="{243C26A3-9651-42CA-BAC7-70D5EFAE7805}">
      <formula1>"O, "</formula1>
    </dataValidation>
  </dataValidations>
  <hyperlinks>
    <hyperlink ref="B18:D18" r:id="rId1" display="abc@domain.com" xr:uid="{DB17ABCB-2973-45DA-9AD4-3CA0471F3E9A}"/>
  </hyperlink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ACE2-3077-415A-98C1-FBE7D51FC1A4}">
  <dimension ref="A1:W35"/>
  <sheetViews>
    <sheetView workbookViewId="0">
      <pane ySplit="9" topLeftCell="A44" activePane="bottomLeft" state="frozen"/>
      <selection pane="bottomLeft" activeCell="L3" sqref="L3:N3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6" width="11.28515625" style="78" customWidth="1"/>
    <col min="7" max="7" width="8.85546875" style="78" customWidth="1"/>
    <col min="8" max="8" width="9" style="78" customWidth="1"/>
    <col min="9" max="9" width="9.42578125" style="78" customWidth="1"/>
    <col min="10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3" ht="13.5" customHeight="1">
      <c r="A1" s="76"/>
      <c r="B1" s="77"/>
    </row>
    <row r="2" spans="1:23" ht="13.5" customHeight="1">
      <c r="A2" s="367" t="s">
        <v>121</v>
      </c>
      <c r="B2" s="368"/>
      <c r="C2" s="369">
        <f>Functions!E11</f>
        <v>0</v>
      </c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Functions!D15</f>
        <v>saveQuotationDetails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3" ht="13.5" customHeight="1">
      <c r="A3" s="355" t="s">
        <v>122</v>
      </c>
      <c r="B3" s="356"/>
      <c r="C3" s="377" t="s">
        <v>123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/>
      <c r="M3" s="378"/>
      <c r="N3" s="378"/>
      <c r="O3" s="178"/>
      <c r="P3" s="178"/>
      <c r="Q3" s="178"/>
      <c r="R3" s="178"/>
      <c r="S3" s="178"/>
      <c r="T3" s="179"/>
    </row>
    <row r="4" spans="1:23" ht="13.5" customHeight="1">
      <c r="A4" s="355" t="s">
        <v>125</v>
      </c>
      <c r="B4" s="356"/>
      <c r="C4" s="357">
        <v>100</v>
      </c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O7),"N/A")</f>
        <v>-5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3" ht="13.5" customHeight="1">
      <c r="A5" s="355" t="s">
        <v>127</v>
      </c>
      <c r="B5" s="356"/>
      <c r="C5" s="365" t="s">
        <v>128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3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3" ht="13.5" customHeight="1">
      <c r="A7" s="345">
        <f>COUNTIF(F32:HQ32,"P")</f>
        <v>11</v>
      </c>
      <c r="B7" s="346"/>
      <c r="C7" s="347">
        <f>COUNTIF(F32:HQ32,"F")</f>
        <v>3</v>
      </c>
      <c r="D7" s="348"/>
      <c r="E7" s="346"/>
      <c r="F7" s="347">
        <f>SUM(O7,- A7,- C7)</f>
        <v>1</v>
      </c>
      <c r="G7" s="348"/>
      <c r="H7" s="348"/>
      <c r="I7" s="348"/>
      <c r="J7" s="348"/>
      <c r="K7" s="349"/>
      <c r="L7" s="180">
        <f>COUNTIF(E31:HQ31,"N")</f>
        <v>11</v>
      </c>
      <c r="M7" s="180">
        <f>COUNTIF(E31:HQ31,"A")</f>
        <v>3</v>
      </c>
      <c r="N7" s="180">
        <f>COUNTIF(E31:HQ31,"B")</f>
        <v>1</v>
      </c>
      <c r="O7" s="350">
        <f>COUNTA(E9:HT9)</f>
        <v>15</v>
      </c>
      <c r="P7" s="348"/>
      <c r="Q7" s="348"/>
      <c r="R7" s="348"/>
      <c r="S7" s="348"/>
      <c r="T7" s="351"/>
      <c r="U7" s="81"/>
    </row>
    <row r="8" spans="1:23" ht="10.5"/>
    <row r="9" spans="1:23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239" t="s">
        <v>136</v>
      </c>
      <c r="Q9" s="239" t="s">
        <v>137</v>
      </c>
      <c r="R9" s="239" t="s">
        <v>138</v>
      </c>
      <c r="S9" s="239" t="s">
        <v>139</v>
      </c>
      <c r="T9" s="240" t="s">
        <v>140</v>
      </c>
      <c r="U9" s="83"/>
      <c r="V9" s="84"/>
      <c r="W9" s="85"/>
    </row>
    <row r="10" spans="1:23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205"/>
    </row>
    <row r="11" spans="1:23" ht="13.5" customHeight="1">
      <c r="A11" s="203"/>
      <c r="B11" s="86"/>
      <c r="C11" s="87"/>
      <c r="D11" s="88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202"/>
      <c r="V11" s="80"/>
    </row>
    <row r="12" spans="1:23" ht="13.5" customHeight="1">
      <c r="A12" s="203"/>
      <c r="B12" s="86"/>
      <c r="C12" s="87"/>
      <c r="D12" s="88"/>
      <c r="E12" s="91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202"/>
    </row>
    <row r="13" spans="1:23" ht="13.5" customHeight="1">
      <c r="A13" s="203"/>
      <c r="B13" s="86"/>
      <c r="C13" s="87"/>
      <c r="D13" s="88"/>
      <c r="E13" s="9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202"/>
    </row>
    <row r="14" spans="1:23" ht="13.5" customHeight="1">
      <c r="A14" s="203"/>
      <c r="B14" s="295" t="s">
        <v>287</v>
      </c>
      <c r="C14" s="87"/>
      <c r="D14" s="88"/>
      <c r="E14" s="93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202"/>
    </row>
    <row r="15" spans="1:23" ht="13.5" customHeight="1">
      <c r="A15" s="203"/>
      <c r="B15" s="485" t="s">
        <v>288</v>
      </c>
      <c r="C15" s="486"/>
      <c r="D15" s="484"/>
      <c r="E15" s="93"/>
      <c r="F15" s="172" t="s">
        <v>144</v>
      </c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202"/>
    </row>
    <row r="16" spans="1:23" ht="13.5" customHeight="1">
      <c r="A16" s="203"/>
      <c r="B16" s="485" t="s">
        <v>289</v>
      </c>
      <c r="C16" s="486"/>
      <c r="D16" s="484"/>
      <c r="E16" s="93"/>
      <c r="F16" s="172"/>
      <c r="G16" s="172" t="s">
        <v>144</v>
      </c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202"/>
    </row>
    <row r="17" spans="1:21" ht="13.5" customHeight="1">
      <c r="A17" s="203"/>
      <c r="B17" s="485"/>
      <c r="C17" s="486"/>
      <c r="D17" s="484"/>
      <c r="E17" s="9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202"/>
      <c r="U17" s="173"/>
    </row>
    <row r="18" spans="1:21" ht="13.5" customHeight="1">
      <c r="A18" s="203"/>
      <c r="B18" s="295" t="s">
        <v>290</v>
      </c>
      <c r="C18" s="87"/>
      <c r="D18" s="88"/>
      <c r="E18" s="93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202"/>
      <c r="U18" s="173"/>
    </row>
    <row r="19" spans="1:21" ht="13.5" customHeight="1">
      <c r="A19" s="203"/>
      <c r="B19" s="487" t="s">
        <v>291</v>
      </c>
      <c r="C19" s="447"/>
      <c r="D19" s="447"/>
      <c r="E19" s="445"/>
      <c r="F19" s="172"/>
      <c r="G19" s="172"/>
      <c r="H19" s="172" t="s">
        <v>144</v>
      </c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202"/>
    </row>
    <row r="20" spans="1:21" ht="13.5" customHeight="1">
      <c r="A20" s="203"/>
      <c r="B20" s="485" t="s">
        <v>292</v>
      </c>
      <c r="C20" s="486"/>
      <c r="D20" s="484"/>
      <c r="E20" s="93"/>
      <c r="F20" s="172" t="s">
        <v>144</v>
      </c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202"/>
    </row>
    <row r="21" spans="1:21" ht="13.5" customHeight="1">
      <c r="A21" s="203"/>
      <c r="B21" s="86"/>
      <c r="C21" s="87"/>
      <c r="D21" s="88"/>
      <c r="E21" s="93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202"/>
    </row>
    <row r="22" spans="1:21" ht="13.5" customHeight="1">
      <c r="A22" s="203"/>
      <c r="B22" s="95"/>
      <c r="C22" s="96"/>
      <c r="D22" s="97"/>
      <c r="E22" s="98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204"/>
    </row>
    <row r="23" spans="1:21" ht="13.5" customHeight="1">
      <c r="A23" s="216" t="s">
        <v>147</v>
      </c>
      <c r="B23" s="100" t="s">
        <v>198</v>
      </c>
      <c r="C23" s="101"/>
      <c r="D23" s="102"/>
      <c r="E23" s="103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205"/>
    </row>
    <row r="24" spans="1:21" ht="13.5" customHeight="1">
      <c r="A24" s="215"/>
      <c r="B24" s="105"/>
      <c r="C24" s="106"/>
      <c r="D24" s="107" t="s">
        <v>199</v>
      </c>
      <c r="E24" s="108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202"/>
    </row>
    <row r="25" spans="1:21" ht="13.5" customHeight="1">
      <c r="A25" s="215"/>
      <c r="B25" s="105"/>
      <c r="C25" s="176"/>
      <c r="D25" s="107" t="s">
        <v>200</v>
      </c>
      <c r="E25" s="110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202"/>
    </row>
    <row r="26" spans="1:21" ht="13.5" customHeight="1">
      <c r="A26" s="215"/>
      <c r="B26" s="105" t="s">
        <v>201</v>
      </c>
      <c r="C26" s="176"/>
      <c r="D26" s="107"/>
      <c r="E26" s="110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202"/>
    </row>
    <row r="27" spans="1:21" ht="13.5" customHeight="1">
      <c r="A27" s="215"/>
      <c r="B27" s="508" t="s">
        <v>293</v>
      </c>
      <c r="C27" s="509"/>
      <c r="D27" s="510"/>
      <c r="E27" s="110"/>
      <c r="F27" s="172"/>
      <c r="G27" s="172" t="s">
        <v>144</v>
      </c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202"/>
    </row>
    <row r="28" spans="1:21" ht="13.5" customHeight="1">
      <c r="A28" s="215"/>
      <c r="B28" s="105" t="s">
        <v>202</v>
      </c>
      <c r="C28" s="176"/>
      <c r="D28" s="107"/>
      <c r="E28" s="110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202"/>
    </row>
    <row r="29" spans="1:21" ht="13.5" customHeight="1">
      <c r="A29" s="215"/>
      <c r="B29" s="105"/>
      <c r="C29" s="176"/>
      <c r="D29" s="107"/>
      <c r="E29" s="110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202"/>
    </row>
    <row r="30" spans="1:21" ht="13.5" customHeight="1">
      <c r="A30" s="215"/>
      <c r="B30" s="190"/>
      <c r="C30" s="191"/>
      <c r="D30" s="192"/>
      <c r="E30" s="193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206"/>
    </row>
    <row r="31" spans="1:21" ht="13.5" customHeight="1">
      <c r="A31" s="216" t="s">
        <v>158</v>
      </c>
      <c r="B31" s="337" t="s">
        <v>159</v>
      </c>
      <c r="C31" s="337"/>
      <c r="D31" s="337"/>
      <c r="E31" s="306"/>
      <c r="F31" s="521" t="s">
        <v>62</v>
      </c>
      <c r="G31" s="521" t="s">
        <v>111</v>
      </c>
      <c r="H31" s="521" t="s">
        <v>111</v>
      </c>
      <c r="I31" s="521" t="s">
        <v>111</v>
      </c>
      <c r="J31" s="195" t="s">
        <v>111</v>
      </c>
      <c r="K31" s="195" t="s">
        <v>112</v>
      </c>
      <c r="L31" s="195" t="s">
        <v>62</v>
      </c>
      <c r="M31" s="195" t="s">
        <v>111</v>
      </c>
      <c r="N31" s="195" t="s">
        <v>111</v>
      </c>
      <c r="O31" s="195" t="s">
        <v>111</v>
      </c>
      <c r="P31" s="195" t="s">
        <v>111</v>
      </c>
      <c r="Q31" s="195" t="s">
        <v>111</v>
      </c>
      <c r="R31" s="195" t="s">
        <v>62</v>
      </c>
      <c r="S31" s="195" t="s">
        <v>111</v>
      </c>
      <c r="T31" s="207" t="s">
        <v>111</v>
      </c>
    </row>
    <row r="32" spans="1:21" ht="13.5" customHeight="1">
      <c r="A32" s="215"/>
      <c r="B32" s="338" t="s">
        <v>160</v>
      </c>
      <c r="C32" s="338"/>
      <c r="D32" s="338"/>
      <c r="E32" s="517"/>
      <c r="F32" s="514" t="s">
        <v>216</v>
      </c>
      <c r="G32" s="514" t="s">
        <v>216</v>
      </c>
      <c r="H32" s="515" t="s">
        <v>200</v>
      </c>
      <c r="I32" s="514" t="s">
        <v>216</v>
      </c>
      <c r="J32" s="519" t="s">
        <v>216</v>
      </c>
      <c r="K32" s="177" t="s">
        <v>200</v>
      </c>
      <c r="L32" s="177" t="s">
        <v>200</v>
      </c>
      <c r="M32" s="177" t="s">
        <v>216</v>
      </c>
      <c r="N32" s="177" t="s">
        <v>216</v>
      </c>
      <c r="O32" s="177" t="s">
        <v>216</v>
      </c>
      <c r="P32" s="177" t="s">
        <v>216</v>
      </c>
      <c r="Q32" s="177" t="s">
        <v>216</v>
      </c>
      <c r="R32" s="177"/>
      <c r="S32" s="177" t="s">
        <v>216</v>
      </c>
      <c r="T32" s="209" t="s">
        <v>216</v>
      </c>
    </row>
    <row r="33" spans="1:20" ht="13.5" customHeight="1">
      <c r="A33" s="215"/>
      <c r="B33" s="339" t="s">
        <v>161</v>
      </c>
      <c r="C33" s="339"/>
      <c r="D33" s="339"/>
      <c r="E33" s="518"/>
      <c r="F33" s="524">
        <v>45935</v>
      </c>
      <c r="G33" s="524">
        <v>45935</v>
      </c>
      <c r="H33" s="525">
        <v>45935</v>
      </c>
      <c r="I33" s="516">
        <v>45935</v>
      </c>
      <c r="J33" s="520">
        <v>39142</v>
      </c>
      <c r="K33" s="114">
        <v>39143</v>
      </c>
      <c r="L33" s="114">
        <v>39144</v>
      </c>
      <c r="M33" s="114">
        <v>39145</v>
      </c>
      <c r="N33" s="114">
        <v>39146</v>
      </c>
      <c r="O33" s="114">
        <v>39147</v>
      </c>
      <c r="P33" s="114">
        <v>39148</v>
      </c>
      <c r="Q33" s="114">
        <v>39149</v>
      </c>
      <c r="R33" s="114">
        <v>39150</v>
      </c>
      <c r="S33" s="114">
        <v>39151</v>
      </c>
      <c r="T33" s="210">
        <v>39152</v>
      </c>
    </row>
    <row r="34" spans="1:20" ht="75">
      <c r="A34" s="234"/>
      <c r="B34" s="335" t="s">
        <v>162</v>
      </c>
      <c r="C34" s="335"/>
      <c r="D34" s="335"/>
      <c r="E34" s="522"/>
      <c r="F34" s="514" t="s">
        <v>294</v>
      </c>
      <c r="G34" s="514" t="s">
        <v>295</v>
      </c>
      <c r="H34" s="514" t="s">
        <v>296</v>
      </c>
      <c r="I34" s="523"/>
      <c r="J34" s="213"/>
      <c r="K34" s="213" t="s">
        <v>218</v>
      </c>
      <c r="L34" s="213" t="s">
        <v>279</v>
      </c>
      <c r="M34" s="213" t="s">
        <v>280</v>
      </c>
      <c r="N34" s="213" t="s">
        <v>281</v>
      </c>
      <c r="O34" s="213" t="s">
        <v>282</v>
      </c>
      <c r="P34" s="213" t="s">
        <v>283</v>
      </c>
      <c r="Q34" s="213" t="s">
        <v>284</v>
      </c>
      <c r="R34" s="213" t="s">
        <v>285</v>
      </c>
      <c r="S34" s="213" t="s">
        <v>217</v>
      </c>
      <c r="T34" s="214" t="s">
        <v>286</v>
      </c>
    </row>
    <row r="35" spans="1:20" ht="10.5">
      <c r="A35" s="196"/>
    </row>
  </sheetData>
  <mergeCells count="33">
    <mergeCell ref="B15:D15"/>
    <mergeCell ref="B16:D16"/>
    <mergeCell ref="B17:D17"/>
    <mergeCell ref="B19:D19"/>
    <mergeCell ref="B20:D20"/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31:D31"/>
    <mergeCell ref="B32:D32"/>
    <mergeCell ref="B33:D33"/>
    <mergeCell ref="B34:D34"/>
    <mergeCell ref="B27:D27"/>
  </mergeCells>
  <phoneticPr fontId="34" type="noConversion"/>
  <dataValidations count="3">
    <dataValidation type="list" allowBlank="1" showInputMessage="1" showErrorMessage="1" sqref="F31:T31" xr:uid="{2FD27C60-5635-433B-BCEB-D5E636E18090}">
      <formula1>"N,A,B, "</formula1>
    </dataValidation>
    <dataValidation type="list" allowBlank="1" showInputMessage="1" showErrorMessage="1" sqref="J32:T32" xr:uid="{F58F8330-7774-472D-9290-AF450C38BEC8}">
      <formula1>"P,F, "</formula1>
    </dataValidation>
    <dataValidation type="list" allowBlank="1" showInputMessage="1" showErrorMessage="1" sqref="F10:T30" xr:uid="{92A7B02F-212E-4792-8870-514991F2D312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8885-A09A-4D09-9401-C7545A554D6E}">
  <dimension ref="A1:W33"/>
  <sheetViews>
    <sheetView workbookViewId="0">
      <pane ySplit="9" topLeftCell="A10" activePane="bottomLeft" state="frozen"/>
      <selection pane="bottomLeft" activeCell="L3" sqref="L3:N3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7" width="5.5703125" style="78" bestFit="1" customWidth="1"/>
    <col min="8" max="8" width="7.85546875" style="78" customWidth="1"/>
    <col min="9" max="9" width="5.5703125" style="78" bestFit="1" customWidth="1"/>
    <col min="10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3" ht="13.5" customHeight="1">
      <c r="A1" s="76"/>
      <c r="B1" s="77"/>
    </row>
    <row r="2" spans="1:23" ht="13.5" customHeight="1">
      <c r="A2" s="367" t="s">
        <v>121</v>
      </c>
      <c r="B2" s="368"/>
      <c r="C2" s="369">
        <f>Functions!E11</f>
        <v>0</v>
      </c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Functions!D16</f>
        <v>saveGuaranteeQuotationDetails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3" ht="13.5" customHeight="1">
      <c r="A3" s="355" t="s">
        <v>122</v>
      </c>
      <c r="B3" s="356"/>
      <c r="C3" s="377" t="s">
        <v>123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/>
      <c r="M3" s="378"/>
      <c r="N3" s="378"/>
      <c r="O3" s="178"/>
      <c r="P3" s="178"/>
      <c r="Q3" s="178"/>
      <c r="R3" s="178"/>
      <c r="S3" s="178"/>
      <c r="T3" s="179"/>
    </row>
    <row r="4" spans="1:23" ht="13.5" customHeight="1">
      <c r="A4" s="355" t="s">
        <v>125</v>
      </c>
      <c r="B4" s="356"/>
      <c r="C4" s="357">
        <v>100</v>
      </c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O7),"N/A")</f>
        <v>-5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3" ht="13.5" customHeight="1">
      <c r="A5" s="355" t="s">
        <v>127</v>
      </c>
      <c r="B5" s="356"/>
      <c r="C5" s="365" t="s">
        <v>128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3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3" ht="13.5" customHeight="1">
      <c r="A7" s="345">
        <f>COUNTIF(F30:HQ30,"P")</f>
        <v>12</v>
      </c>
      <c r="B7" s="346"/>
      <c r="C7" s="347">
        <f>COUNTIF(F30:HQ30,"F")</f>
        <v>2</v>
      </c>
      <c r="D7" s="348"/>
      <c r="E7" s="346"/>
      <c r="F7" s="347">
        <f>SUM(O7,- A7,- C7)</f>
        <v>1</v>
      </c>
      <c r="G7" s="348"/>
      <c r="H7" s="348"/>
      <c r="I7" s="348"/>
      <c r="J7" s="348"/>
      <c r="K7" s="349"/>
      <c r="L7" s="180">
        <f>COUNTIF(E29:HQ29,"N")</f>
        <v>11</v>
      </c>
      <c r="M7" s="180">
        <f>COUNTIF(E29:HQ29,"A")</f>
        <v>3</v>
      </c>
      <c r="N7" s="180">
        <f>COUNTIF(E29:HQ29,"B")</f>
        <v>1</v>
      </c>
      <c r="O7" s="350">
        <f>COUNTA(E9:HT9)</f>
        <v>15</v>
      </c>
      <c r="P7" s="348"/>
      <c r="Q7" s="348"/>
      <c r="R7" s="348"/>
      <c r="S7" s="348"/>
      <c r="T7" s="351"/>
      <c r="U7" s="81"/>
    </row>
    <row r="8" spans="1:23" ht="10.5"/>
    <row r="9" spans="1:23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239" t="s">
        <v>136</v>
      </c>
      <c r="Q9" s="239" t="s">
        <v>137</v>
      </c>
      <c r="R9" s="239" t="s">
        <v>138</v>
      </c>
      <c r="S9" s="239" t="s">
        <v>139</v>
      </c>
      <c r="T9" s="240" t="s">
        <v>140</v>
      </c>
      <c r="U9" s="83"/>
      <c r="V9" s="84"/>
      <c r="W9" s="85"/>
    </row>
    <row r="10" spans="1:23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205"/>
    </row>
    <row r="11" spans="1:23" ht="13.5" customHeight="1">
      <c r="A11" s="203"/>
      <c r="B11" s="86"/>
      <c r="C11" s="87"/>
      <c r="D11" s="88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202"/>
      <c r="V11" s="80"/>
    </row>
    <row r="12" spans="1:23" ht="13.5" customHeight="1">
      <c r="A12" s="203"/>
      <c r="B12" s="86"/>
      <c r="C12" s="87"/>
      <c r="D12" s="88"/>
      <c r="E12" s="91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202"/>
    </row>
    <row r="13" spans="1:23" ht="13.5" customHeight="1">
      <c r="A13" s="203"/>
      <c r="B13" s="86"/>
      <c r="C13" s="87"/>
      <c r="D13" s="88"/>
      <c r="E13" s="9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202"/>
    </row>
    <row r="14" spans="1:23" ht="13.5" customHeight="1">
      <c r="A14" s="203"/>
      <c r="B14" s="86" t="s">
        <v>297</v>
      </c>
      <c r="C14" s="87"/>
      <c r="D14" s="88"/>
      <c r="E14" s="93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202"/>
    </row>
    <row r="15" spans="1:23" ht="13.5" customHeight="1">
      <c r="A15" s="203"/>
      <c r="B15" s="86"/>
      <c r="C15" s="87"/>
      <c r="D15" s="511" t="s">
        <v>288</v>
      </c>
      <c r="E15" s="93"/>
      <c r="F15" s="172" t="s">
        <v>144</v>
      </c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202"/>
    </row>
    <row r="16" spans="1:23" ht="13.5" customHeight="1">
      <c r="A16" s="203"/>
      <c r="B16" s="86"/>
      <c r="C16" s="87"/>
      <c r="D16" s="511" t="s">
        <v>289</v>
      </c>
      <c r="E16" s="93"/>
      <c r="F16" s="172"/>
      <c r="G16" s="172" t="s">
        <v>144</v>
      </c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202"/>
    </row>
    <row r="17" spans="1:21" ht="13.5" customHeight="1">
      <c r="A17" s="203"/>
      <c r="B17" s="86"/>
      <c r="C17" s="87"/>
      <c r="D17" s="88">
        <v>31</v>
      </c>
      <c r="E17" s="9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202"/>
      <c r="U17" s="173"/>
    </row>
    <row r="18" spans="1:21" ht="13.5" customHeight="1">
      <c r="A18" s="203"/>
      <c r="B18" s="86" t="s">
        <v>290</v>
      </c>
      <c r="C18" s="87"/>
      <c r="D18" s="88"/>
      <c r="E18" s="93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202"/>
      <c r="U18" s="173"/>
    </row>
    <row r="19" spans="1:21" ht="13.5" customHeight="1">
      <c r="A19" s="203"/>
      <c r="B19" s="487" t="s">
        <v>298</v>
      </c>
      <c r="C19" s="447"/>
      <c r="D19" s="447"/>
      <c r="E19" s="445"/>
      <c r="F19" s="172" t="s">
        <v>144</v>
      </c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202"/>
    </row>
    <row r="20" spans="1:21" ht="13.5" customHeight="1">
      <c r="A20" s="203"/>
      <c r="B20" s="95"/>
      <c r="C20" s="96"/>
      <c r="D20" s="97"/>
      <c r="E20" s="98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204"/>
    </row>
    <row r="21" spans="1:21" ht="13.5" customHeight="1">
      <c r="A21" s="216" t="s">
        <v>147</v>
      </c>
      <c r="B21" s="100" t="s">
        <v>198</v>
      </c>
      <c r="C21" s="101"/>
      <c r="D21" s="102"/>
      <c r="E21" s="103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205"/>
    </row>
    <row r="22" spans="1:21" ht="13.5" customHeight="1">
      <c r="A22" s="215"/>
      <c r="B22" s="105"/>
      <c r="C22" s="106"/>
      <c r="D22" s="107" t="s">
        <v>199</v>
      </c>
      <c r="E22" s="108"/>
      <c r="F22" s="172" t="s">
        <v>144</v>
      </c>
      <c r="G22" s="172" t="s">
        <v>144</v>
      </c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202"/>
    </row>
    <row r="23" spans="1:21" ht="13.5" customHeight="1">
      <c r="A23" s="215"/>
      <c r="B23" s="105"/>
      <c r="C23" s="176"/>
      <c r="D23" s="107" t="s">
        <v>200</v>
      </c>
      <c r="E23" s="110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202"/>
    </row>
    <row r="24" spans="1:21" ht="13.5" customHeight="1">
      <c r="A24" s="215"/>
      <c r="B24" s="105" t="s">
        <v>201</v>
      </c>
      <c r="C24" s="176"/>
      <c r="D24" s="107"/>
      <c r="E24" s="110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202"/>
    </row>
    <row r="25" spans="1:21" ht="13.5" customHeight="1">
      <c r="A25" s="215"/>
      <c r="B25" s="105"/>
      <c r="C25" s="176"/>
      <c r="D25" s="107"/>
      <c r="E25" s="110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202"/>
    </row>
    <row r="26" spans="1:21" ht="13.5" customHeight="1">
      <c r="A26" s="215"/>
      <c r="B26" s="105" t="s">
        <v>202</v>
      </c>
      <c r="C26" s="176"/>
      <c r="D26" s="107"/>
      <c r="E26" s="110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202"/>
    </row>
    <row r="27" spans="1:21" ht="13.5" customHeight="1">
      <c r="A27" s="215"/>
      <c r="B27" s="105"/>
      <c r="C27" s="176"/>
      <c r="D27" s="107" t="s">
        <v>213</v>
      </c>
      <c r="E27" s="110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202"/>
    </row>
    <row r="28" spans="1:21" ht="13.5" customHeight="1">
      <c r="A28" s="215"/>
      <c r="B28" s="190"/>
      <c r="C28" s="191"/>
      <c r="D28" s="192" t="s">
        <v>246</v>
      </c>
      <c r="E28" s="193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206"/>
    </row>
    <row r="29" spans="1:21" ht="13.5" customHeight="1">
      <c r="A29" s="216" t="s">
        <v>158</v>
      </c>
      <c r="B29" s="337" t="s">
        <v>159</v>
      </c>
      <c r="C29" s="337"/>
      <c r="D29" s="337"/>
      <c r="E29" s="306"/>
      <c r="F29" s="195" t="s">
        <v>62</v>
      </c>
      <c r="G29" s="195" t="s">
        <v>111</v>
      </c>
      <c r="H29" s="195" t="s">
        <v>111</v>
      </c>
      <c r="I29" s="195" t="s">
        <v>111</v>
      </c>
      <c r="J29" s="195" t="s">
        <v>111</v>
      </c>
      <c r="K29" s="195" t="s">
        <v>112</v>
      </c>
      <c r="L29" s="195" t="s">
        <v>62</v>
      </c>
      <c r="M29" s="195" t="s">
        <v>111</v>
      </c>
      <c r="N29" s="195" t="s">
        <v>111</v>
      </c>
      <c r="O29" s="195" t="s">
        <v>111</v>
      </c>
      <c r="P29" s="195" t="s">
        <v>111</v>
      </c>
      <c r="Q29" s="195" t="s">
        <v>111</v>
      </c>
      <c r="R29" s="195" t="s">
        <v>62</v>
      </c>
      <c r="S29" s="195" t="s">
        <v>111</v>
      </c>
      <c r="T29" s="207" t="s">
        <v>111</v>
      </c>
    </row>
    <row r="30" spans="1:21" ht="13.5" customHeight="1">
      <c r="A30" s="215"/>
      <c r="B30" s="338" t="s">
        <v>160</v>
      </c>
      <c r="C30" s="338"/>
      <c r="D30" s="338"/>
      <c r="E30" s="112"/>
      <c r="F30" s="177" t="s">
        <v>216</v>
      </c>
      <c r="G30" s="177" t="s">
        <v>216</v>
      </c>
      <c r="H30" s="177" t="s">
        <v>216</v>
      </c>
      <c r="I30" s="177" t="s">
        <v>216</v>
      </c>
      <c r="J30" s="177" t="s">
        <v>216</v>
      </c>
      <c r="K30" s="177" t="s">
        <v>200</v>
      </c>
      <c r="L30" s="177" t="s">
        <v>200</v>
      </c>
      <c r="M30" s="177" t="s">
        <v>216</v>
      </c>
      <c r="N30" s="177" t="s">
        <v>216</v>
      </c>
      <c r="O30" s="177" t="s">
        <v>216</v>
      </c>
      <c r="P30" s="177" t="s">
        <v>216</v>
      </c>
      <c r="Q30" s="177" t="s">
        <v>216</v>
      </c>
      <c r="R30" s="177"/>
      <c r="S30" s="177" t="s">
        <v>216</v>
      </c>
      <c r="T30" s="209" t="s">
        <v>216</v>
      </c>
    </row>
    <row r="31" spans="1:21" ht="13.5" customHeight="1">
      <c r="A31" s="215"/>
      <c r="B31" s="339" t="s">
        <v>161</v>
      </c>
      <c r="C31" s="339"/>
      <c r="D31" s="339"/>
      <c r="E31" s="113"/>
      <c r="F31" s="512">
        <v>45935</v>
      </c>
      <c r="G31" s="512">
        <v>45935</v>
      </c>
      <c r="H31" s="513">
        <v>45935</v>
      </c>
      <c r="I31" s="512">
        <v>45935</v>
      </c>
      <c r="J31" s="114">
        <v>39142</v>
      </c>
      <c r="K31" s="114">
        <v>39143</v>
      </c>
      <c r="L31" s="114">
        <v>39144</v>
      </c>
      <c r="M31" s="114">
        <v>39145</v>
      </c>
      <c r="N31" s="114">
        <v>39146</v>
      </c>
      <c r="O31" s="114">
        <v>39147</v>
      </c>
      <c r="P31" s="114">
        <v>39148</v>
      </c>
      <c r="Q31" s="114">
        <v>39149</v>
      </c>
      <c r="R31" s="114">
        <v>39150</v>
      </c>
      <c r="S31" s="114">
        <v>39151</v>
      </c>
      <c r="T31" s="210">
        <v>39152</v>
      </c>
    </row>
    <row r="32" spans="1:21" ht="75">
      <c r="A32" s="234"/>
      <c r="B32" s="335" t="s">
        <v>162</v>
      </c>
      <c r="C32" s="335"/>
      <c r="D32" s="335"/>
      <c r="E32" s="212"/>
      <c r="F32" s="213"/>
      <c r="G32" s="213"/>
      <c r="H32" s="213"/>
      <c r="I32" s="213"/>
      <c r="J32" s="213"/>
      <c r="K32" s="213" t="s">
        <v>218</v>
      </c>
      <c r="L32" s="213" t="s">
        <v>279</v>
      </c>
      <c r="M32" s="213" t="s">
        <v>280</v>
      </c>
      <c r="N32" s="213" t="s">
        <v>281</v>
      </c>
      <c r="O32" s="213" t="s">
        <v>282</v>
      </c>
      <c r="P32" s="213" t="s">
        <v>283</v>
      </c>
      <c r="Q32" s="213" t="s">
        <v>284</v>
      </c>
      <c r="R32" s="213" t="s">
        <v>285</v>
      </c>
      <c r="S32" s="213" t="s">
        <v>217</v>
      </c>
      <c r="T32" s="214" t="s">
        <v>286</v>
      </c>
    </row>
    <row r="33" spans="1:1" ht="10.5">
      <c r="A33" s="196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29:D29"/>
    <mergeCell ref="B30:D30"/>
    <mergeCell ref="B31:D31"/>
    <mergeCell ref="B32:D32"/>
    <mergeCell ref="B19:D19"/>
  </mergeCells>
  <phoneticPr fontId="34" type="noConversion"/>
  <dataValidations count="3">
    <dataValidation type="list" allowBlank="1" showInputMessage="1" showErrorMessage="1" sqref="F30:T30" xr:uid="{1603794F-3162-48A4-9D63-1B81BCBCF88D}">
      <formula1>"P,F, "</formula1>
    </dataValidation>
    <dataValidation type="list" allowBlank="1" showInputMessage="1" showErrorMessage="1" sqref="F29:T29" xr:uid="{29E799B6-6413-46EE-94BE-46CB08654575}">
      <formula1>"N,A,B, "</formula1>
    </dataValidation>
    <dataValidation type="list" allowBlank="1" showInputMessage="1" showErrorMessage="1" sqref="F10:T28" xr:uid="{852CD822-8146-440A-8030-06EC923DFAE2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721B-D6A1-47C2-ACC4-09604285F89B}">
  <dimension ref="A1:W47"/>
  <sheetViews>
    <sheetView workbookViewId="0">
      <pane ySplit="9" topLeftCell="A10" activePane="bottomLeft" state="frozen"/>
      <selection pane="bottomLeft" activeCell="L3" sqref="L3:N3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6" width="4.140625" style="78" bestFit="1" customWidth="1"/>
    <col min="7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3" ht="13.5" customHeight="1">
      <c r="A1" s="76"/>
      <c r="B1" s="77"/>
    </row>
    <row r="2" spans="1:23" ht="13.5" customHeight="1">
      <c r="A2" s="367" t="s">
        <v>121</v>
      </c>
      <c r="B2" s="368"/>
      <c r="C2" s="369"/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Functions!D17</f>
        <v>createPost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3" ht="13.5" customHeight="1">
      <c r="A3" s="355" t="s">
        <v>122</v>
      </c>
      <c r="B3" s="356"/>
      <c r="C3" s="377" t="s">
        <v>299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 t="s">
        <v>299</v>
      </c>
      <c r="M3" s="378"/>
      <c r="N3" s="378"/>
      <c r="O3" s="178"/>
      <c r="P3" s="178"/>
      <c r="Q3" s="178"/>
      <c r="R3" s="178"/>
      <c r="S3" s="178"/>
      <c r="T3" s="179"/>
    </row>
    <row r="4" spans="1:23" ht="13.5" customHeight="1">
      <c r="A4" s="355" t="s">
        <v>125</v>
      </c>
      <c r="B4" s="356"/>
      <c r="C4" s="357"/>
      <c r="D4" s="358"/>
      <c r="E4" s="189"/>
      <c r="F4" s="359" t="s">
        <v>126</v>
      </c>
      <c r="G4" s="360"/>
      <c r="H4" s="360"/>
      <c r="I4" s="360"/>
      <c r="J4" s="360"/>
      <c r="K4" s="361"/>
      <c r="L4" s="362">
        <v>0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3" ht="13.5" customHeight="1">
      <c r="A5" s="355" t="s">
        <v>127</v>
      </c>
      <c r="B5" s="356"/>
      <c r="C5" s="365"/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3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3" ht="13.5" customHeight="1">
      <c r="A7" s="345">
        <f>COUNTIF(F44:HQ44,"P")</f>
        <v>8</v>
      </c>
      <c r="B7" s="346"/>
      <c r="C7" s="347">
        <f>COUNTIF(F44:HQ44,"F")</f>
        <v>0</v>
      </c>
      <c r="D7" s="348"/>
      <c r="E7" s="346"/>
      <c r="F7" s="347">
        <f>SUM(O7,- A7,- C7)</f>
        <v>0</v>
      </c>
      <c r="G7" s="348"/>
      <c r="H7" s="348"/>
      <c r="I7" s="348"/>
      <c r="J7" s="348"/>
      <c r="K7" s="349"/>
      <c r="L7" s="180">
        <f>COUNTIF(E43:HQ43,"N")</f>
        <v>2</v>
      </c>
      <c r="M7" s="180">
        <f>COUNTIF(E43:HQ43,"A")</f>
        <v>5</v>
      </c>
      <c r="N7" s="180">
        <f>COUNTIF(E43:HQ43,"B")</f>
        <v>1</v>
      </c>
      <c r="O7" s="350">
        <f>COUNTA(E9:HT9)</f>
        <v>8</v>
      </c>
      <c r="P7" s="348"/>
      <c r="Q7" s="348"/>
      <c r="R7" s="348"/>
      <c r="S7" s="348"/>
      <c r="T7" s="351"/>
      <c r="U7" s="81"/>
    </row>
    <row r="8" spans="1:23" ht="10.5"/>
    <row r="9" spans="1:23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/>
      <c r="O9"/>
      <c r="P9"/>
      <c r="Q9"/>
      <c r="R9"/>
      <c r="S9"/>
      <c r="T9"/>
      <c r="U9" s="83"/>
      <c r="V9" s="84"/>
      <c r="W9" s="85"/>
    </row>
    <row r="10" spans="1:23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/>
      <c r="O10"/>
      <c r="P10"/>
      <c r="Q10"/>
      <c r="R10"/>
      <c r="S10"/>
      <c r="T10"/>
    </row>
    <row r="11" spans="1:23" ht="13.5" customHeight="1">
      <c r="A11" s="203"/>
      <c r="B11" s="86"/>
      <c r="C11" s="437" t="s">
        <v>169</v>
      </c>
      <c r="D11" s="436"/>
      <c r="E11" s="91"/>
      <c r="F11" s="172"/>
      <c r="G11" s="172"/>
      <c r="H11" s="172"/>
      <c r="I11" s="172"/>
      <c r="J11" s="172"/>
      <c r="K11" s="172"/>
      <c r="L11" s="172"/>
      <c r="M11" s="172"/>
      <c r="N11"/>
      <c r="O11"/>
      <c r="P11"/>
      <c r="Q11"/>
      <c r="R11"/>
      <c r="S11"/>
      <c r="T11"/>
      <c r="V11" s="80"/>
    </row>
    <row r="12" spans="1:23" ht="13.5" customHeight="1">
      <c r="A12" s="203"/>
      <c r="B12" s="86"/>
      <c r="C12" s="87"/>
      <c r="D12" s="88"/>
      <c r="E12" s="91"/>
      <c r="F12" s="172"/>
      <c r="G12" s="172"/>
      <c r="H12" s="172"/>
      <c r="I12" s="172"/>
      <c r="J12" s="172"/>
      <c r="K12" s="172"/>
      <c r="L12" s="172"/>
      <c r="M12" s="172"/>
      <c r="N12"/>
      <c r="O12"/>
      <c r="P12"/>
      <c r="Q12"/>
      <c r="R12"/>
      <c r="S12"/>
      <c r="T12"/>
    </row>
    <row r="13" spans="1:23" ht="13.5" customHeight="1">
      <c r="A13" s="203"/>
      <c r="B13" s="86"/>
      <c r="C13" s="87"/>
      <c r="D13" s="88"/>
      <c r="E13" s="92"/>
      <c r="F13" s="172"/>
      <c r="G13" s="172"/>
      <c r="H13" s="172"/>
      <c r="I13" s="172"/>
      <c r="J13" s="172"/>
      <c r="K13" s="172"/>
      <c r="L13" s="172"/>
      <c r="M13" s="172"/>
      <c r="N13"/>
      <c r="O13"/>
      <c r="P13"/>
      <c r="Q13"/>
      <c r="R13"/>
      <c r="S13"/>
      <c r="T13"/>
    </row>
    <row r="14" spans="1:23" ht="13.5" customHeight="1">
      <c r="A14" s="203"/>
      <c r="B14" s="86" t="s">
        <v>300</v>
      </c>
      <c r="C14" s="87"/>
      <c r="D14" s="88"/>
      <c r="E14" s="93"/>
      <c r="F14" s="172"/>
      <c r="G14" s="172"/>
      <c r="H14" s="172"/>
      <c r="I14" s="172"/>
      <c r="J14" s="172"/>
      <c r="K14" s="172"/>
      <c r="L14" s="172"/>
      <c r="M14" s="172"/>
      <c r="N14"/>
      <c r="O14"/>
      <c r="P14"/>
      <c r="Q14"/>
      <c r="R14"/>
      <c r="S14"/>
      <c r="T14"/>
    </row>
    <row r="15" spans="1:23" ht="13.5" customHeight="1">
      <c r="A15" s="203"/>
      <c r="B15" s="86"/>
      <c r="C15" s="439" t="s">
        <v>301</v>
      </c>
      <c r="D15" s="438"/>
      <c r="E15" s="93"/>
      <c r="F15" s="172" t="s">
        <v>144</v>
      </c>
      <c r="H15" s="172"/>
      <c r="I15" s="172" t="s">
        <v>144</v>
      </c>
      <c r="J15" s="172" t="s">
        <v>144</v>
      </c>
      <c r="K15" s="172" t="s">
        <v>144</v>
      </c>
      <c r="L15" s="172" t="s">
        <v>144</v>
      </c>
      <c r="M15" s="172" t="s">
        <v>144</v>
      </c>
      <c r="N15"/>
      <c r="O15"/>
      <c r="P15"/>
      <c r="Q15"/>
      <c r="R15"/>
      <c r="S15"/>
      <c r="T15"/>
    </row>
    <row r="16" spans="1:23" ht="13.5" customHeight="1">
      <c r="A16" s="203"/>
      <c r="B16" s="86"/>
      <c r="C16" s="442" t="s">
        <v>254</v>
      </c>
      <c r="D16" s="443"/>
      <c r="E16" s="93"/>
      <c r="F16" s="172"/>
      <c r="G16" s="172" t="s">
        <v>144</v>
      </c>
      <c r="H16" s="172"/>
      <c r="I16" s="172"/>
      <c r="J16" s="172"/>
      <c r="K16" s="172"/>
      <c r="L16" s="172"/>
      <c r="M16" s="172"/>
      <c r="N16"/>
      <c r="O16"/>
      <c r="P16"/>
      <c r="Q16"/>
      <c r="R16"/>
      <c r="S16"/>
      <c r="T16"/>
    </row>
    <row r="17" spans="1:21" ht="13.5" customHeight="1">
      <c r="A17" s="203"/>
      <c r="B17" s="86"/>
      <c r="C17" s="441" t="s">
        <v>302</v>
      </c>
      <c r="D17" s="440"/>
      <c r="E17" s="93"/>
      <c r="F17" s="172"/>
      <c r="G17" s="172"/>
      <c r="H17" s="172" t="s">
        <v>144</v>
      </c>
      <c r="I17" s="172"/>
      <c r="J17" s="172"/>
      <c r="K17" s="172"/>
      <c r="L17" s="172"/>
      <c r="M17" s="172"/>
      <c r="N17"/>
      <c r="O17"/>
      <c r="P17"/>
      <c r="Q17"/>
      <c r="R17"/>
      <c r="S17"/>
      <c r="T17"/>
      <c r="U17" s="173"/>
    </row>
    <row r="18" spans="1:21" ht="13.5" customHeight="1">
      <c r="A18" s="203"/>
      <c r="B18" s="86" t="s">
        <v>303</v>
      </c>
      <c r="C18" s="87"/>
      <c r="D18" s="88"/>
      <c r="E18" s="93"/>
      <c r="F18" s="172"/>
      <c r="G18" s="172"/>
      <c r="H18" s="172"/>
      <c r="I18" s="172"/>
      <c r="J18" s="172"/>
      <c r="K18" s="172"/>
      <c r="L18" s="172"/>
      <c r="M18" s="172"/>
      <c r="N18"/>
      <c r="O18"/>
      <c r="P18"/>
      <c r="Q18"/>
      <c r="R18"/>
      <c r="S18"/>
      <c r="T18"/>
      <c r="U18" s="173"/>
    </row>
    <row r="19" spans="1:21" ht="13.5" customHeight="1">
      <c r="A19" s="203"/>
      <c r="B19" s="449" t="s">
        <v>304</v>
      </c>
      <c r="C19" s="446"/>
      <c r="D19" s="446"/>
      <c r="E19" s="450"/>
      <c r="F19" s="172" t="s">
        <v>144</v>
      </c>
      <c r="G19" s="172" t="s">
        <v>144</v>
      </c>
      <c r="H19" s="172" t="s">
        <v>144</v>
      </c>
      <c r="I19" s="172"/>
      <c r="J19" s="172"/>
      <c r="K19" s="172" t="s">
        <v>144</v>
      </c>
      <c r="L19" s="172" t="s">
        <v>144</v>
      </c>
      <c r="M19" s="172" t="s">
        <v>144</v>
      </c>
      <c r="N19"/>
      <c r="O19"/>
      <c r="P19"/>
      <c r="Q19"/>
      <c r="R19"/>
      <c r="S19"/>
      <c r="T19"/>
    </row>
    <row r="20" spans="1:21" ht="13.5" customHeight="1">
      <c r="A20" s="203"/>
      <c r="B20" s="86"/>
      <c r="C20" s="87"/>
      <c r="D20" s="88" t="s">
        <v>254</v>
      </c>
      <c r="E20" s="93"/>
      <c r="F20" s="172"/>
      <c r="H20" s="172"/>
      <c r="I20" s="172" t="s">
        <v>144</v>
      </c>
      <c r="J20" s="172"/>
      <c r="K20" s="172"/>
      <c r="L20" s="172"/>
      <c r="M20" s="172"/>
      <c r="N20"/>
      <c r="O20"/>
      <c r="P20"/>
      <c r="Q20"/>
      <c r="R20"/>
      <c r="S20"/>
      <c r="T20"/>
    </row>
    <row r="21" spans="1:21" ht="13.5" customHeight="1">
      <c r="A21" s="203"/>
      <c r="B21" s="452" t="s">
        <v>305</v>
      </c>
      <c r="C21" s="439"/>
      <c r="D21" s="438"/>
      <c r="E21" s="93"/>
      <c r="F21" s="172"/>
      <c r="G21" s="172"/>
      <c r="H21" s="172"/>
      <c r="I21" s="172"/>
      <c r="J21" s="172" t="s">
        <v>144</v>
      </c>
      <c r="K21" s="172"/>
      <c r="L21" s="172"/>
      <c r="M21" s="172"/>
      <c r="N21"/>
      <c r="O21"/>
      <c r="P21"/>
      <c r="Q21"/>
      <c r="R21"/>
      <c r="S21"/>
      <c r="T21"/>
    </row>
    <row r="22" spans="1:21" ht="13.5" customHeight="1">
      <c r="A22" s="203"/>
      <c r="B22" s="86" t="s">
        <v>306</v>
      </c>
      <c r="C22" s="87"/>
      <c r="D22" s="88"/>
      <c r="E22" s="93"/>
      <c r="F22" s="172"/>
      <c r="G22" s="172"/>
      <c r="H22" s="172"/>
      <c r="I22" s="172"/>
      <c r="J22" s="172"/>
      <c r="K22" s="172"/>
      <c r="L22" s="172"/>
      <c r="M22" s="172"/>
      <c r="N22"/>
      <c r="O22"/>
      <c r="P22"/>
      <c r="Q22"/>
      <c r="R22"/>
      <c r="S22"/>
      <c r="T22"/>
    </row>
    <row r="23" spans="1:21" ht="13.5" customHeight="1">
      <c r="A23" s="203"/>
      <c r="B23" s="86"/>
      <c r="C23" s="87"/>
      <c r="D23" s="444" t="s">
        <v>196</v>
      </c>
      <c r="E23" s="93"/>
      <c r="F23" s="172" t="s">
        <v>144</v>
      </c>
      <c r="G23" s="172" t="s">
        <v>144</v>
      </c>
      <c r="H23" s="172" t="s">
        <v>144</v>
      </c>
      <c r="I23" s="172" t="s">
        <v>144</v>
      </c>
      <c r="J23" s="172" t="s">
        <v>144</v>
      </c>
      <c r="K23" s="172"/>
      <c r="L23" s="172"/>
      <c r="M23" s="172" t="s">
        <v>144</v>
      </c>
      <c r="N23"/>
      <c r="O23"/>
      <c r="P23"/>
      <c r="Q23"/>
      <c r="R23"/>
      <c r="S23"/>
      <c r="T23"/>
    </row>
    <row r="24" spans="1:21" ht="13.5" customHeight="1">
      <c r="A24" s="203"/>
      <c r="B24" s="86"/>
      <c r="C24" s="87"/>
      <c r="D24" s="88" t="s">
        <v>254</v>
      </c>
      <c r="E24" s="93"/>
      <c r="F24" s="172"/>
      <c r="H24" s="172"/>
      <c r="I24" s="172"/>
      <c r="J24" s="172"/>
      <c r="K24" s="172" t="s">
        <v>144</v>
      </c>
      <c r="L24" s="172"/>
      <c r="M24" s="172"/>
      <c r="N24"/>
      <c r="O24"/>
      <c r="P24"/>
      <c r="Q24"/>
      <c r="R24"/>
      <c r="S24"/>
      <c r="T24"/>
    </row>
    <row r="25" spans="1:21" ht="13.5" customHeight="1">
      <c r="A25" s="203"/>
      <c r="B25" s="454" t="s">
        <v>307</v>
      </c>
      <c r="C25" s="455"/>
      <c r="D25" s="456"/>
      <c r="E25" s="93"/>
      <c r="F25" s="172"/>
      <c r="G25" s="172"/>
      <c r="H25" s="172"/>
      <c r="I25" s="172"/>
      <c r="J25" s="172"/>
      <c r="K25" s="172"/>
      <c r="L25" s="172" t="s">
        <v>144</v>
      </c>
      <c r="M25" s="172"/>
      <c r="N25"/>
      <c r="O25"/>
      <c r="P25"/>
      <c r="Q25"/>
      <c r="R25"/>
      <c r="S25"/>
      <c r="T25"/>
    </row>
    <row r="26" spans="1:21" ht="13.5" customHeight="1">
      <c r="A26" s="203"/>
      <c r="B26" s="86" t="s">
        <v>308</v>
      </c>
      <c r="C26" s="87"/>
      <c r="D26" s="88"/>
      <c r="E26" s="93"/>
      <c r="F26" s="172"/>
      <c r="G26" s="172"/>
      <c r="H26" s="172"/>
      <c r="I26" s="172"/>
      <c r="J26" s="172"/>
      <c r="K26" s="172"/>
      <c r="L26" s="172"/>
      <c r="M26" s="172"/>
      <c r="N26"/>
      <c r="O26"/>
      <c r="P26"/>
      <c r="Q26"/>
      <c r="R26"/>
      <c r="S26"/>
      <c r="T26"/>
    </row>
    <row r="27" spans="1:21" ht="13.5" customHeight="1">
      <c r="A27" s="203"/>
      <c r="B27" s="86"/>
      <c r="C27" s="87"/>
      <c r="D27" s="88">
        <v>1</v>
      </c>
      <c r="E27" s="93"/>
      <c r="F27" s="172" t="s">
        <v>144</v>
      </c>
      <c r="G27" s="172" t="s">
        <v>144</v>
      </c>
      <c r="H27" s="172" t="s">
        <v>144</v>
      </c>
      <c r="I27" s="172" t="s">
        <v>144</v>
      </c>
      <c r="J27" s="172" t="s">
        <v>144</v>
      </c>
      <c r="K27" s="172" t="s">
        <v>144</v>
      </c>
      <c r="L27" s="172" t="s">
        <v>144</v>
      </c>
      <c r="M27" s="172"/>
      <c r="N27"/>
      <c r="O27"/>
      <c r="P27"/>
      <c r="Q27"/>
      <c r="R27"/>
      <c r="S27"/>
      <c r="T27"/>
    </row>
    <row r="28" spans="1:21" ht="13.5" customHeight="1">
      <c r="A28" s="203"/>
      <c r="B28" s="86"/>
      <c r="C28" s="87"/>
      <c r="D28" s="88">
        <v>-1</v>
      </c>
      <c r="E28" s="93"/>
      <c r="F28" s="172"/>
      <c r="G28" s="172"/>
      <c r="H28" s="172"/>
      <c r="I28" s="172"/>
      <c r="J28" s="172"/>
      <c r="K28" s="172"/>
      <c r="L28" s="172"/>
      <c r="M28" s="172" t="s">
        <v>144</v>
      </c>
      <c r="N28"/>
      <c r="O28"/>
      <c r="P28"/>
      <c r="Q28"/>
      <c r="R28"/>
      <c r="S28"/>
      <c r="T28"/>
    </row>
    <row r="29" spans="1:21" ht="13.5" customHeight="1">
      <c r="A29" s="216" t="s">
        <v>147</v>
      </c>
      <c r="B29" s="100" t="s">
        <v>198</v>
      </c>
      <c r="C29" s="101"/>
      <c r="D29" s="102"/>
      <c r="E29" s="103"/>
      <c r="F29" s="175"/>
      <c r="G29" s="175"/>
      <c r="H29" s="175"/>
      <c r="I29" s="175"/>
      <c r="J29" s="175"/>
      <c r="K29" s="175"/>
      <c r="L29" s="175"/>
      <c r="M29" s="175"/>
      <c r="N29"/>
      <c r="O29"/>
      <c r="P29"/>
      <c r="Q29"/>
      <c r="R29"/>
      <c r="S29"/>
      <c r="T29"/>
    </row>
    <row r="30" spans="1:21" ht="13.5" customHeight="1">
      <c r="A30" s="215"/>
      <c r="B30" s="105"/>
      <c r="C30" s="106"/>
      <c r="D30" s="107" t="s">
        <v>309</v>
      </c>
      <c r="E30" s="108"/>
      <c r="F30" s="172" t="s">
        <v>144</v>
      </c>
      <c r="G30" s="172"/>
      <c r="H30" s="172" t="s">
        <v>144</v>
      </c>
      <c r="I30" s="172"/>
      <c r="J30" s="172"/>
      <c r="K30" s="172"/>
      <c r="L30" s="172"/>
      <c r="M30" s="172"/>
      <c r="N30"/>
      <c r="O30"/>
      <c r="P30"/>
      <c r="Q30"/>
      <c r="R30"/>
      <c r="S30"/>
      <c r="T30"/>
    </row>
    <row r="31" spans="1:21" ht="13.5" customHeight="1">
      <c r="A31" s="215"/>
      <c r="B31" s="105"/>
      <c r="C31" s="176"/>
      <c r="D31" s="107"/>
      <c r="E31" s="110"/>
      <c r="F31" s="172"/>
      <c r="G31" s="172"/>
      <c r="H31" s="172"/>
      <c r="I31" s="172"/>
      <c r="J31" s="172"/>
      <c r="K31" s="172"/>
      <c r="L31" s="172"/>
      <c r="M31" s="172"/>
      <c r="N31"/>
      <c r="O31"/>
      <c r="P31"/>
      <c r="Q31"/>
      <c r="R31"/>
      <c r="S31"/>
      <c r="T31"/>
    </row>
    <row r="32" spans="1:21" ht="13.5" customHeight="1">
      <c r="A32" s="215"/>
      <c r="B32" s="105" t="s">
        <v>201</v>
      </c>
      <c r="C32" s="176"/>
      <c r="D32" s="107"/>
      <c r="E32" s="110"/>
      <c r="F32" s="172"/>
      <c r="G32" s="172"/>
      <c r="H32" s="172"/>
      <c r="I32" s="172"/>
      <c r="J32" s="172"/>
      <c r="K32" s="172"/>
      <c r="L32" s="172"/>
      <c r="M32" s="172"/>
      <c r="N32"/>
      <c r="O32"/>
      <c r="P32"/>
      <c r="Q32"/>
      <c r="R32"/>
      <c r="S32"/>
      <c r="T32"/>
    </row>
    <row r="33" spans="1:20" ht="13.5" customHeight="1">
      <c r="A33" s="215"/>
      <c r="B33" s="105"/>
      <c r="C33" s="176"/>
      <c r="D33" s="107"/>
      <c r="E33" s="110"/>
      <c r="F33" s="172"/>
      <c r="G33" s="172"/>
      <c r="H33" s="172"/>
      <c r="I33" s="172"/>
      <c r="J33" s="172"/>
      <c r="K33" s="172"/>
      <c r="L33" s="172"/>
      <c r="M33" s="172"/>
      <c r="N33"/>
      <c r="O33"/>
      <c r="P33"/>
      <c r="Q33"/>
      <c r="R33"/>
      <c r="S33"/>
      <c r="T33"/>
    </row>
    <row r="34" spans="1:20" ht="13.5" customHeight="1">
      <c r="A34" s="215"/>
      <c r="B34" s="105" t="s">
        <v>202</v>
      </c>
      <c r="C34" s="176"/>
      <c r="D34" s="107"/>
      <c r="E34" s="110"/>
      <c r="F34" s="172"/>
      <c r="G34" s="172"/>
      <c r="H34" s="172"/>
      <c r="I34" s="172"/>
      <c r="J34" s="172"/>
      <c r="K34" s="172"/>
      <c r="L34" s="172"/>
      <c r="M34" s="172"/>
      <c r="N34"/>
      <c r="O34"/>
      <c r="P34"/>
      <c r="Q34"/>
      <c r="R34"/>
      <c r="S34"/>
      <c r="T34"/>
    </row>
    <row r="35" spans="1:20" ht="13.5" customHeight="1">
      <c r="A35" s="215"/>
      <c r="B35" s="501" t="s">
        <v>310</v>
      </c>
      <c r="C35" s="502"/>
      <c r="D35" s="500"/>
      <c r="E35" s="110"/>
      <c r="F35" s="172" t="s">
        <v>144</v>
      </c>
      <c r="G35" s="172"/>
      <c r="H35" s="172"/>
      <c r="I35" s="172"/>
      <c r="J35" s="172"/>
      <c r="K35" s="172"/>
      <c r="L35" s="172"/>
      <c r="M35" s="172"/>
      <c r="N35"/>
      <c r="O35"/>
      <c r="P35"/>
      <c r="Q35"/>
      <c r="R35"/>
      <c r="S35"/>
      <c r="T35"/>
    </row>
    <row r="36" spans="1:20" ht="13.5" customHeight="1">
      <c r="A36" s="215"/>
      <c r="B36" s="501" t="s">
        <v>311</v>
      </c>
      <c r="C36" s="502"/>
      <c r="D36" s="500"/>
      <c r="E36" s="294"/>
      <c r="F36" s="194"/>
      <c r="G36" s="172" t="s">
        <v>144</v>
      </c>
      <c r="H36" s="194"/>
      <c r="I36" s="194"/>
      <c r="J36" s="194"/>
      <c r="K36" s="194"/>
      <c r="L36" s="194"/>
      <c r="M36" s="194"/>
      <c r="N36"/>
      <c r="O36"/>
      <c r="P36"/>
      <c r="Q36"/>
      <c r="R36"/>
      <c r="S36"/>
      <c r="T36"/>
    </row>
    <row r="37" spans="1:20" ht="13.5" customHeight="1">
      <c r="A37" s="215"/>
      <c r="B37" s="501" t="s">
        <v>312</v>
      </c>
      <c r="C37" s="502"/>
      <c r="D37" s="500"/>
      <c r="E37" s="294"/>
      <c r="F37" s="194"/>
      <c r="G37" s="172"/>
      <c r="H37" s="172" t="s">
        <v>144</v>
      </c>
      <c r="I37" s="194"/>
      <c r="J37" s="194"/>
      <c r="K37" s="194"/>
      <c r="L37" s="194"/>
      <c r="M37" s="194"/>
      <c r="N37"/>
      <c r="O37"/>
      <c r="P37"/>
      <c r="Q37"/>
      <c r="R37"/>
      <c r="S37"/>
      <c r="T37"/>
    </row>
    <row r="38" spans="1:20" ht="13.5" customHeight="1">
      <c r="A38" s="215"/>
      <c r="B38" s="501" t="s">
        <v>313</v>
      </c>
      <c r="C38" s="502"/>
      <c r="D38" s="500"/>
      <c r="E38" s="294"/>
      <c r="F38" s="194"/>
      <c r="G38" s="172"/>
      <c r="H38" s="194"/>
      <c r="I38" s="172" t="s">
        <v>144</v>
      </c>
      <c r="J38" s="194"/>
      <c r="K38" s="194"/>
      <c r="L38" s="194"/>
      <c r="M38" s="194"/>
      <c r="N38"/>
      <c r="O38"/>
      <c r="P38"/>
      <c r="Q38"/>
      <c r="R38"/>
      <c r="S38"/>
      <c r="T38"/>
    </row>
    <row r="39" spans="1:20" ht="13.5" customHeight="1">
      <c r="A39" s="215"/>
      <c r="B39" s="501" t="s">
        <v>314</v>
      </c>
      <c r="C39" s="502"/>
      <c r="D39" s="500"/>
      <c r="E39" s="294"/>
      <c r="F39" s="194"/>
      <c r="G39" s="172"/>
      <c r="H39" s="194"/>
      <c r="I39" s="194"/>
      <c r="J39" s="172" t="s">
        <v>144</v>
      </c>
      <c r="K39" s="194"/>
      <c r="L39" s="194"/>
      <c r="M39" s="194"/>
      <c r="N39"/>
      <c r="O39"/>
      <c r="P39"/>
      <c r="Q39"/>
      <c r="R39"/>
      <c r="S39"/>
      <c r="T39"/>
    </row>
    <row r="40" spans="1:20" ht="13.5" customHeight="1">
      <c r="A40" s="215"/>
      <c r="B40" s="501" t="s">
        <v>315</v>
      </c>
      <c r="C40" s="502"/>
      <c r="D40" s="500"/>
      <c r="E40" s="294"/>
      <c r="F40" s="194"/>
      <c r="G40" s="172"/>
      <c r="H40" s="194"/>
      <c r="I40" s="194"/>
      <c r="J40" s="194"/>
      <c r="K40" s="172" t="s">
        <v>144</v>
      </c>
      <c r="L40" s="194"/>
      <c r="M40" s="194"/>
      <c r="N40"/>
      <c r="O40"/>
      <c r="P40"/>
      <c r="Q40"/>
      <c r="R40"/>
      <c r="S40"/>
      <c r="T40"/>
    </row>
    <row r="41" spans="1:20" ht="13.5" customHeight="1">
      <c r="A41" s="215"/>
      <c r="B41" s="501" t="s">
        <v>316</v>
      </c>
      <c r="C41" s="502"/>
      <c r="D41" s="500"/>
      <c r="E41" s="294"/>
      <c r="F41" s="194"/>
      <c r="G41" s="172"/>
      <c r="H41" s="194"/>
      <c r="I41" s="194"/>
      <c r="J41" s="194"/>
      <c r="K41" s="194"/>
      <c r="L41" s="172" t="s">
        <v>144</v>
      </c>
      <c r="M41" s="194"/>
      <c r="N41"/>
      <c r="O41"/>
      <c r="P41"/>
      <c r="Q41"/>
      <c r="R41"/>
      <c r="S41"/>
      <c r="T41"/>
    </row>
    <row r="42" spans="1:20" ht="13.5" customHeight="1">
      <c r="A42" s="215"/>
      <c r="B42" s="503" t="s">
        <v>317</v>
      </c>
      <c r="C42" s="504"/>
      <c r="D42" s="505"/>
      <c r="E42" s="193"/>
      <c r="F42" s="194"/>
      <c r="G42" s="172"/>
      <c r="H42" s="194"/>
      <c r="I42" s="194"/>
      <c r="J42" s="194"/>
      <c r="K42" s="194"/>
      <c r="L42" s="194"/>
      <c r="M42" s="172" t="s">
        <v>144</v>
      </c>
      <c r="N42"/>
      <c r="O42"/>
      <c r="P42"/>
      <c r="Q42"/>
      <c r="R42"/>
      <c r="S42"/>
      <c r="T42"/>
    </row>
    <row r="43" spans="1:20" ht="13.5" customHeight="1">
      <c r="A43" s="216" t="s">
        <v>158</v>
      </c>
      <c r="B43" s="337" t="s">
        <v>159</v>
      </c>
      <c r="C43" s="337"/>
      <c r="D43" s="337"/>
      <c r="E43" s="306"/>
      <c r="F43" s="195" t="s">
        <v>111</v>
      </c>
      <c r="G43" s="195" t="s">
        <v>62</v>
      </c>
      <c r="H43" s="195" t="s">
        <v>111</v>
      </c>
      <c r="I43" s="195" t="s">
        <v>62</v>
      </c>
      <c r="J43" s="195" t="s">
        <v>112</v>
      </c>
      <c r="K43" s="195" t="s">
        <v>62</v>
      </c>
      <c r="L43" s="195" t="s">
        <v>62</v>
      </c>
      <c r="M43" s="195" t="s">
        <v>62</v>
      </c>
      <c r="N43"/>
      <c r="O43"/>
      <c r="P43"/>
      <c r="Q43"/>
      <c r="R43"/>
      <c r="S43"/>
      <c r="T43"/>
    </row>
    <row r="44" spans="1:20" ht="13.5" customHeight="1">
      <c r="A44" s="215"/>
      <c r="B44" s="338" t="s">
        <v>160</v>
      </c>
      <c r="C44" s="338"/>
      <c r="D44" s="338"/>
      <c r="E44" s="112"/>
      <c r="F44" s="177" t="s">
        <v>216</v>
      </c>
      <c r="G44" s="177" t="s">
        <v>216</v>
      </c>
      <c r="H44" s="177" t="s">
        <v>216</v>
      </c>
      <c r="I44" s="177" t="s">
        <v>216</v>
      </c>
      <c r="J44" s="177" t="s">
        <v>216</v>
      </c>
      <c r="K44" s="177" t="s">
        <v>216</v>
      </c>
      <c r="L44" s="177" t="s">
        <v>216</v>
      </c>
      <c r="M44" s="177" t="s">
        <v>216</v>
      </c>
      <c r="N44"/>
      <c r="O44"/>
      <c r="P44"/>
      <c r="Q44"/>
      <c r="R44"/>
      <c r="S44"/>
      <c r="T44"/>
    </row>
    <row r="45" spans="1:20" ht="70.5" customHeight="1">
      <c r="A45" s="215"/>
      <c r="B45" s="339" t="s">
        <v>161</v>
      </c>
      <c r="C45" s="339"/>
      <c r="D45" s="339"/>
      <c r="E45" s="113"/>
      <c r="F45" s="114">
        <v>45781</v>
      </c>
      <c r="G45" s="114">
        <v>45781</v>
      </c>
      <c r="H45" s="114">
        <v>45781</v>
      </c>
      <c r="I45" s="114">
        <v>45781</v>
      </c>
      <c r="J45" s="114">
        <v>45781</v>
      </c>
      <c r="K45" s="114">
        <v>45781</v>
      </c>
      <c r="L45" s="114">
        <v>45781</v>
      </c>
      <c r="M45" s="114">
        <v>45781</v>
      </c>
      <c r="N45"/>
      <c r="O45"/>
      <c r="P45"/>
      <c r="Q45"/>
      <c r="R45"/>
      <c r="S45"/>
      <c r="T45"/>
    </row>
    <row r="46" spans="1:20">
      <c r="A46" s="234"/>
      <c r="B46" s="335" t="s">
        <v>162</v>
      </c>
      <c r="C46" s="335"/>
      <c r="D46" s="335"/>
      <c r="E46" s="212"/>
      <c r="F46" s="213"/>
      <c r="G46" s="213"/>
      <c r="H46" s="213"/>
      <c r="I46" s="213"/>
      <c r="J46" s="213"/>
      <c r="K46" s="213"/>
      <c r="L46" s="213"/>
      <c r="M46" s="213"/>
      <c r="N46"/>
      <c r="O46"/>
      <c r="P46"/>
      <c r="Q46"/>
      <c r="R46"/>
      <c r="S46"/>
      <c r="T46"/>
    </row>
    <row r="47" spans="1:20" ht="10.5">
      <c r="A47" s="196"/>
    </row>
  </sheetData>
  <mergeCells count="42">
    <mergeCell ref="B41:D41"/>
    <mergeCell ref="C11:D11"/>
    <mergeCell ref="C15:D15"/>
    <mergeCell ref="C16:D16"/>
    <mergeCell ref="C17:D17"/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B43:D43"/>
    <mergeCell ref="B44:D44"/>
    <mergeCell ref="B45:D45"/>
    <mergeCell ref="B46:D46"/>
    <mergeCell ref="B19:E19"/>
    <mergeCell ref="B21:D21"/>
    <mergeCell ref="B25:D25"/>
    <mergeCell ref="B35:D35"/>
    <mergeCell ref="B42:D42"/>
    <mergeCell ref="B36:D36"/>
    <mergeCell ref="B37:D37"/>
    <mergeCell ref="B38:D38"/>
    <mergeCell ref="B39:D39"/>
    <mergeCell ref="B40:D40"/>
  </mergeCells>
  <phoneticPr fontId="34" type="noConversion"/>
  <dataValidations count="3">
    <dataValidation type="list" allowBlank="1" showInputMessage="1" showErrorMessage="1" sqref="F43:T43" xr:uid="{4430BA12-23A8-47C4-93C6-A558C950C073}">
      <formula1>"N,A,B, "</formula1>
    </dataValidation>
    <dataValidation type="list" allowBlank="1" showInputMessage="1" showErrorMessage="1" sqref="F44:T44" xr:uid="{F8F3EA4B-808D-46FC-B0A7-8AD6A0B6AD5F}">
      <formula1>"P,F, "</formula1>
    </dataValidation>
    <dataValidation type="list" allowBlank="1" showInputMessage="1" showErrorMessage="1" sqref="F10:T14 H20:I20 F15 F20 F16:T18 F19:I19 H15:T15 J19:T20 F21:T22 F23:K23 H24:K24 L23:T24 F24:F42 G37:G42 G25:G35 H25:T42" xr:uid="{10A6195F-2B6B-412F-97A3-B29BBD940709}">
      <formula1>"O, "</formula1>
    </dataValidation>
  </dataValidations>
  <hyperlinks>
    <hyperlink ref="D23" r:id="rId1" xr:uid="{70C320D4-20B9-4664-B054-D5DDDF9FF15F}"/>
    <hyperlink ref="B25:D25" r:id="rId2" display="&quot;https://123.com/123.123&quot;" xr:uid="{461E99BA-A5F2-4592-A3FC-379E8A6D50BB}"/>
  </hyperlink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522-CF6C-4E32-B808-4C142350FDD0}">
  <dimension ref="A1:W43"/>
  <sheetViews>
    <sheetView workbookViewId="0">
      <pane ySplit="9" topLeftCell="A23" activePane="bottomLeft" state="frozen"/>
      <selection pane="bottomLeft" activeCell="L3" sqref="L3:N3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3" ht="13.5" customHeight="1">
      <c r="A1" s="76"/>
      <c r="B1" s="77"/>
    </row>
    <row r="2" spans="1:23" ht="13.5" customHeight="1">
      <c r="A2" s="367" t="s">
        <v>121</v>
      </c>
      <c r="B2" s="368"/>
      <c r="C2" s="369">
        <f>Functions!E11</f>
        <v>0</v>
      </c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Functions!D18</f>
        <v>createContractCustomize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3" ht="13.5" customHeight="1">
      <c r="A3" s="355" t="s">
        <v>122</v>
      </c>
      <c r="B3" s="356"/>
      <c r="C3" s="377" t="s">
        <v>123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/>
      <c r="M3" s="378"/>
      <c r="N3" s="378"/>
      <c r="O3" s="178"/>
      <c r="P3" s="178"/>
      <c r="Q3" s="178"/>
      <c r="R3" s="178"/>
      <c r="S3" s="178"/>
      <c r="T3" s="179"/>
    </row>
    <row r="4" spans="1:23" ht="13.5" customHeight="1">
      <c r="A4" s="355" t="s">
        <v>125</v>
      </c>
      <c r="B4" s="356"/>
      <c r="C4" s="357">
        <v>100</v>
      </c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O7),"N/A")</f>
        <v>-5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3" ht="13.5" customHeight="1">
      <c r="A5" s="355" t="s">
        <v>127</v>
      </c>
      <c r="B5" s="356"/>
      <c r="C5" s="365" t="s">
        <v>128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3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3" ht="13.5" customHeight="1">
      <c r="A7" s="345">
        <f>COUNTIF(F40:HQ40,"P")</f>
        <v>12</v>
      </c>
      <c r="B7" s="346"/>
      <c r="C7" s="347">
        <f>COUNTIF(F40:HQ40,"F")</f>
        <v>2</v>
      </c>
      <c r="D7" s="348"/>
      <c r="E7" s="346"/>
      <c r="F7" s="347">
        <f>SUM(O7,- A7,- C7)</f>
        <v>1</v>
      </c>
      <c r="G7" s="348"/>
      <c r="H7" s="348"/>
      <c r="I7" s="348"/>
      <c r="J7" s="348"/>
      <c r="K7" s="349"/>
      <c r="L7" s="180">
        <f>COUNTIF(E39:HQ39,"N")</f>
        <v>11</v>
      </c>
      <c r="M7" s="180">
        <f>COUNTIF(E39:HQ39,"A")</f>
        <v>3</v>
      </c>
      <c r="N7" s="180">
        <f>COUNTIF(E39:HQ39,"B")</f>
        <v>1</v>
      </c>
      <c r="O7" s="350">
        <f>COUNTA(E9:HT9)</f>
        <v>15</v>
      </c>
      <c r="P7" s="348"/>
      <c r="Q7" s="348"/>
      <c r="R7" s="348"/>
      <c r="S7" s="348"/>
      <c r="T7" s="351"/>
      <c r="U7" s="81"/>
    </row>
    <row r="8" spans="1:23" ht="10.5"/>
    <row r="9" spans="1:23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239" t="s">
        <v>136</v>
      </c>
      <c r="Q9" s="239" t="s">
        <v>137</v>
      </c>
      <c r="R9" s="239" t="s">
        <v>138</v>
      </c>
      <c r="S9" s="239" t="s">
        <v>139</v>
      </c>
      <c r="T9" s="240" t="s">
        <v>140</v>
      </c>
      <c r="U9" s="83"/>
      <c r="V9" s="84"/>
      <c r="W9" s="85"/>
    </row>
    <row r="10" spans="1:23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205"/>
    </row>
    <row r="11" spans="1:23" ht="13.5" customHeight="1">
      <c r="A11" s="203"/>
      <c r="B11" s="86"/>
      <c r="C11" s="87"/>
      <c r="D11" s="88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202"/>
      <c r="V11" s="80"/>
    </row>
    <row r="12" spans="1:23" ht="13.5" customHeight="1">
      <c r="A12" s="203"/>
      <c r="B12" s="86"/>
      <c r="C12" s="87"/>
      <c r="D12" s="88"/>
      <c r="E12" s="91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202"/>
    </row>
    <row r="13" spans="1:23" ht="13.5" customHeight="1">
      <c r="A13" s="203"/>
      <c r="B13" s="86"/>
      <c r="C13" s="87"/>
      <c r="D13" s="88"/>
      <c r="E13" s="9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202"/>
    </row>
    <row r="14" spans="1:23" ht="13.5" customHeight="1">
      <c r="A14" s="203"/>
      <c r="B14" s="86" t="s">
        <v>318</v>
      </c>
      <c r="C14" s="87"/>
      <c r="D14" s="88"/>
      <c r="E14" s="93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202"/>
    </row>
    <row r="15" spans="1:23" ht="13.5" customHeight="1">
      <c r="A15" s="203"/>
      <c r="B15" s="86"/>
      <c r="C15" s="87"/>
      <c r="D15" s="88">
        <v>29</v>
      </c>
      <c r="E15" s="93"/>
      <c r="F15" s="172" t="s">
        <v>144</v>
      </c>
      <c r="G15" s="172" t="s">
        <v>144</v>
      </c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202"/>
    </row>
    <row r="16" spans="1:23" ht="13.5" customHeight="1">
      <c r="A16" s="203"/>
      <c r="B16" s="86"/>
      <c r="C16" s="87"/>
      <c r="D16" s="88">
        <v>30</v>
      </c>
      <c r="E16" s="93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202"/>
    </row>
    <row r="17" spans="1:21" ht="13.5" customHeight="1">
      <c r="A17" s="203"/>
      <c r="B17" s="86"/>
      <c r="C17" s="87"/>
      <c r="D17" s="88">
        <v>31</v>
      </c>
      <c r="E17" s="9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202"/>
      <c r="U17" s="173"/>
    </row>
    <row r="18" spans="1:21" ht="13.5" customHeight="1">
      <c r="A18" s="203"/>
      <c r="B18" s="86" t="s">
        <v>319</v>
      </c>
      <c r="C18" s="87"/>
      <c r="D18" s="88"/>
      <c r="E18" s="93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202"/>
      <c r="U18" s="173"/>
    </row>
    <row r="19" spans="1:21" ht="13.5" customHeight="1">
      <c r="A19" s="203"/>
      <c r="B19" s="86"/>
      <c r="C19" s="87"/>
      <c r="D19" s="336">
        <v>2</v>
      </c>
      <c r="E19" s="336"/>
      <c r="F19" s="172" t="s">
        <v>144</v>
      </c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202"/>
    </row>
    <row r="20" spans="1:21" ht="13.5" customHeight="1">
      <c r="A20" s="203"/>
      <c r="B20" s="86"/>
      <c r="C20" s="87"/>
      <c r="D20" s="88">
        <v>3</v>
      </c>
      <c r="E20" s="93"/>
      <c r="F20" s="172"/>
      <c r="G20" s="172" t="s">
        <v>144</v>
      </c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202"/>
    </row>
    <row r="21" spans="1:21" ht="13.5" customHeight="1">
      <c r="A21" s="203"/>
      <c r="B21" s="86"/>
      <c r="C21" s="87"/>
      <c r="D21" s="88">
        <v>4</v>
      </c>
      <c r="E21" s="93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202"/>
    </row>
    <row r="22" spans="1:21" ht="13.5" customHeight="1">
      <c r="A22" s="203"/>
      <c r="B22" s="86" t="s">
        <v>320</v>
      </c>
      <c r="C22" s="87"/>
      <c r="D22" s="88"/>
      <c r="E22" s="93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202"/>
    </row>
    <row r="23" spans="1:21" ht="13.5" customHeight="1">
      <c r="A23" s="203"/>
      <c r="B23" s="86"/>
      <c r="C23" s="87"/>
      <c r="D23" s="88">
        <v>2000</v>
      </c>
      <c r="E23" s="93"/>
      <c r="F23" s="172" t="s">
        <v>144</v>
      </c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202"/>
    </row>
    <row r="24" spans="1:21" ht="13.5" customHeight="1">
      <c r="A24" s="203"/>
      <c r="B24" s="86"/>
      <c r="C24" s="87"/>
      <c r="D24" s="88">
        <v>2009</v>
      </c>
      <c r="E24" s="93"/>
      <c r="F24" s="172"/>
      <c r="G24" s="172" t="s">
        <v>144</v>
      </c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202"/>
    </row>
    <row r="25" spans="1:21" ht="13.5" customHeight="1">
      <c r="A25" s="203"/>
      <c r="B25" s="86"/>
      <c r="C25" s="87"/>
      <c r="D25" s="88"/>
      <c r="E25" s="93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202"/>
    </row>
    <row r="26" spans="1:21" ht="13.5" customHeight="1">
      <c r="A26" s="203"/>
      <c r="B26" s="86"/>
      <c r="C26" s="87"/>
      <c r="D26" s="88"/>
      <c r="E26" s="93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202"/>
    </row>
    <row r="27" spans="1:21" ht="13.5" customHeight="1">
      <c r="A27" s="203"/>
      <c r="B27" s="86"/>
      <c r="C27" s="87"/>
      <c r="D27" s="88"/>
      <c r="E27" s="93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202"/>
    </row>
    <row r="28" spans="1:21" ht="13.5" customHeight="1">
      <c r="A28" s="203"/>
      <c r="B28" s="86"/>
      <c r="C28" s="87"/>
      <c r="D28" s="88"/>
      <c r="E28" s="93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202"/>
    </row>
    <row r="29" spans="1:21" ht="13.5" customHeight="1">
      <c r="A29" s="203"/>
      <c r="B29" s="86"/>
      <c r="C29" s="87"/>
      <c r="D29" s="88"/>
      <c r="E29" s="93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202"/>
    </row>
    <row r="30" spans="1:21" ht="13.5" customHeight="1">
      <c r="A30" s="203"/>
      <c r="B30" s="95"/>
      <c r="C30" s="96"/>
      <c r="D30" s="97"/>
      <c r="E30" s="98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204"/>
    </row>
    <row r="31" spans="1:21" ht="13.5" customHeight="1">
      <c r="A31" s="216" t="s">
        <v>147</v>
      </c>
      <c r="B31" s="100" t="s">
        <v>198</v>
      </c>
      <c r="C31" s="101"/>
      <c r="D31" s="102"/>
      <c r="E31" s="103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205"/>
    </row>
    <row r="32" spans="1:21" ht="13.5" customHeight="1">
      <c r="A32" s="215"/>
      <c r="B32" s="105"/>
      <c r="C32" s="106"/>
      <c r="D32" s="107" t="s">
        <v>199</v>
      </c>
      <c r="E32" s="108"/>
      <c r="F32" s="172" t="s">
        <v>144</v>
      </c>
      <c r="G32" s="172" t="s">
        <v>144</v>
      </c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202"/>
    </row>
    <row r="33" spans="1:20" ht="13.5" customHeight="1">
      <c r="A33" s="215"/>
      <c r="B33" s="105"/>
      <c r="C33" s="176"/>
      <c r="D33" s="107" t="s">
        <v>200</v>
      </c>
      <c r="E33" s="110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202"/>
    </row>
    <row r="34" spans="1:20" ht="13.5" customHeight="1">
      <c r="A34" s="215"/>
      <c r="B34" s="105" t="s">
        <v>201</v>
      </c>
      <c r="C34" s="176"/>
      <c r="D34" s="107"/>
      <c r="E34" s="110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202"/>
    </row>
    <row r="35" spans="1:20" ht="13.5" customHeight="1">
      <c r="A35" s="215"/>
      <c r="B35" s="105"/>
      <c r="C35" s="176"/>
      <c r="D35" s="107"/>
      <c r="E35" s="110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202"/>
    </row>
    <row r="36" spans="1:20" ht="13.5" customHeight="1">
      <c r="A36" s="215"/>
      <c r="B36" s="105" t="s">
        <v>202</v>
      </c>
      <c r="C36" s="176"/>
      <c r="D36" s="107"/>
      <c r="E36" s="110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202"/>
    </row>
    <row r="37" spans="1:20" ht="13.5" customHeight="1">
      <c r="A37" s="215"/>
      <c r="B37" s="105"/>
      <c r="C37" s="176"/>
      <c r="D37" s="107" t="s">
        <v>213</v>
      </c>
      <c r="E37" s="110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202"/>
    </row>
    <row r="38" spans="1:20" ht="13.5" customHeight="1">
      <c r="A38" s="215"/>
      <c r="B38" s="190"/>
      <c r="C38" s="191"/>
      <c r="D38" s="192" t="s">
        <v>246</v>
      </c>
      <c r="E38" s="193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206"/>
    </row>
    <row r="39" spans="1:20" ht="13.5" customHeight="1">
      <c r="A39" s="216" t="s">
        <v>158</v>
      </c>
      <c r="B39" s="337" t="s">
        <v>159</v>
      </c>
      <c r="C39" s="337"/>
      <c r="D39" s="337"/>
      <c r="E39" s="306"/>
      <c r="F39" s="195" t="s">
        <v>62</v>
      </c>
      <c r="G39" s="195" t="s">
        <v>111</v>
      </c>
      <c r="H39" s="195" t="s">
        <v>111</v>
      </c>
      <c r="I39" s="195" t="s">
        <v>111</v>
      </c>
      <c r="J39" s="195" t="s">
        <v>111</v>
      </c>
      <c r="K39" s="195" t="s">
        <v>112</v>
      </c>
      <c r="L39" s="195" t="s">
        <v>62</v>
      </c>
      <c r="M39" s="195" t="s">
        <v>111</v>
      </c>
      <c r="N39" s="195" t="s">
        <v>111</v>
      </c>
      <c r="O39" s="195" t="s">
        <v>111</v>
      </c>
      <c r="P39" s="195" t="s">
        <v>111</v>
      </c>
      <c r="Q39" s="195" t="s">
        <v>111</v>
      </c>
      <c r="R39" s="195" t="s">
        <v>62</v>
      </c>
      <c r="S39" s="195" t="s">
        <v>111</v>
      </c>
      <c r="T39" s="207" t="s">
        <v>111</v>
      </c>
    </row>
    <row r="40" spans="1:20" ht="13.5" customHeight="1">
      <c r="A40" s="215"/>
      <c r="B40" s="338" t="s">
        <v>160</v>
      </c>
      <c r="C40" s="338"/>
      <c r="D40" s="338"/>
      <c r="E40" s="112"/>
      <c r="F40" s="177" t="s">
        <v>216</v>
      </c>
      <c r="G40" s="177" t="s">
        <v>216</v>
      </c>
      <c r="H40" s="177" t="s">
        <v>216</v>
      </c>
      <c r="I40" s="177" t="s">
        <v>216</v>
      </c>
      <c r="J40" s="177" t="s">
        <v>216</v>
      </c>
      <c r="K40" s="177" t="s">
        <v>200</v>
      </c>
      <c r="L40" s="177" t="s">
        <v>200</v>
      </c>
      <c r="M40" s="177" t="s">
        <v>216</v>
      </c>
      <c r="N40" s="177" t="s">
        <v>216</v>
      </c>
      <c r="O40" s="177" t="s">
        <v>216</v>
      </c>
      <c r="P40" s="177" t="s">
        <v>216</v>
      </c>
      <c r="Q40" s="177" t="s">
        <v>216</v>
      </c>
      <c r="R40" s="177"/>
      <c r="S40" s="177" t="s">
        <v>216</v>
      </c>
      <c r="T40" s="209" t="s">
        <v>216</v>
      </c>
    </row>
    <row r="41" spans="1:20" ht="13.5" customHeight="1">
      <c r="A41" s="215"/>
      <c r="B41" s="339" t="s">
        <v>161</v>
      </c>
      <c r="C41" s="339"/>
      <c r="D41" s="339"/>
      <c r="E41" s="113"/>
      <c r="F41" s="114">
        <v>39139</v>
      </c>
      <c r="G41" s="114">
        <v>39139</v>
      </c>
      <c r="H41" s="114">
        <v>39140</v>
      </c>
      <c r="I41" s="114">
        <v>39141</v>
      </c>
      <c r="J41" s="114">
        <v>39142</v>
      </c>
      <c r="K41" s="114">
        <v>39143</v>
      </c>
      <c r="L41" s="114">
        <v>39144</v>
      </c>
      <c r="M41" s="114">
        <v>39145</v>
      </c>
      <c r="N41" s="114">
        <v>39146</v>
      </c>
      <c r="O41" s="114">
        <v>39147</v>
      </c>
      <c r="P41" s="114">
        <v>39148</v>
      </c>
      <c r="Q41" s="114">
        <v>39149</v>
      </c>
      <c r="R41" s="114">
        <v>39150</v>
      </c>
      <c r="S41" s="114">
        <v>39151</v>
      </c>
      <c r="T41" s="210">
        <v>39152</v>
      </c>
    </row>
    <row r="42" spans="1:20" ht="75">
      <c r="A42" s="234"/>
      <c r="B42" s="335" t="s">
        <v>162</v>
      </c>
      <c r="C42" s="335"/>
      <c r="D42" s="335"/>
      <c r="E42" s="212"/>
      <c r="F42" s="213"/>
      <c r="G42" s="213"/>
      <c r="H42" s="213"/>
      <c r="I42" s="213"/>
      <c r="J42" s="213"/>
      <c r="K42" s="213" t="s">
        <v>218</v>
      </c>
      <c r="L42" s="213" t="s">
        <v>279</v>
      </c>
      <c r="M42" s="213" t="s">
        <v>280</v>
      </c>
      <c r="N42" s="213" t="s">
        <v>281</v>
      </c>
      <c r="O42" s="213" t="s">
        <v>282</v>
      </c>
      <c r="P42" s="213" t="s">
        <v>283</v>
      </c>
      <c r="Q42" s="213" t="s">
        <v>284</v>
      </c>
      <c r="R42" s="213" t="s">
        <v>285</v>
      </c>
      <c r="S42" s="213" t="s">
        <v>217</v>
      </c>
      <c r="T42" s="214" t="s">
        <v>286</v>
      </c>
    </row>
    <row r="43" spans="1:20" ht="10.5">
      <c r="A43" s="196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19:E19"/>
    <mergeCell ref="B39:D39"/>
    <mergeCell ref="B40:D40"/>
    <mergeCell ref="B41:D41"/>
    <mergeCell ref="B42:D42"/>
  </mergeCells>
  <phoneticPr fontId="34" type="noConversion"/>
  <dataValidations count="3">
    <dataValidation type="list" allowBlank="1" showInputMessage="1" showErrorMessage="1" sqref="F39:T39" xr:uid="{487BC434-CF60-4913-8F08-88BDC6940B49}">
      <formula1>"N,A,B, "</formula1>
    </dataValidation>
    <dataValidation type="list" allowBlank="1" showInputMessage="1" showErrorMessage="1" sqref="F40:T40" xr:uid="{D8571126-B17A-4FDD-8D34-2877CC975294}">
      <formula1>"P,F, "</formula1>
    </dataValidation>
    <dataValidation type="list" allowBlank="1" showInputMessage="1" showErrorMessage="1" sqref="F10:T38" xr:uid="{A6D1309B-9EAD-4061-A0B8-45A87F4AE040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2242-C694-4ED7-B890-E3694DD60E94}">
  <dimension ref="A1:W43"/>
  <sheetViews>
    <sheetView workbookViewId="0">
      <pane ySplit="9" topLeftCell="X24" activePane="bottomLeft" state="frozen"/>
      <selection pane="bottomLeft" activeCell="X24" sqref="X24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3" ht="13.5" customHeight="1">
      <c r="A1" s="76"/>
      <c r="B1" s="77"/>
    </row>
    <row r="2" spans="1:23" ht="13.5" customHeight="1">
      <c r="A2" s="367" t="s">
        <v>121</v>
      </c>
      <c r="B2" s="368"/>
      <c r="C2" s="369">
        <f>Functions!E11</f>
        <v>0</v>
      </c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Functions!D19</f>
        <v>createReview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3" ht="13.5" customHeight="1">
      <c r="A3" s="355" t="s">
        <v>122</v>
      </c>
      <c r="B3" s="356"/>
      <c r="C3" s="377" t="s">
        <v>123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/>
      <c r="M3" s="378"/>
      <c r="N3" s="378"/>
      <c r="O3" s="178"/>
      <c r="P3" s="178"/>
      <c r="Q3" s="178"/>
      <c r="R3" s="178"/>
      <c r="S3" s="178"/>
      <c r="T3" s="179"/>
    </row>
    <row r="4" spans="1:23" ht="13.5" customHeight="1">
      <c r="A4" s="355" t="s">
        <v>125</v>
      </c>
      <c r="B4" s="356"/>
      <c r="C4" s="357">
        <v>100</v>
      </c>
      <c r="D4" s="358"/>
      <c r="E4" s="189"/>
      <c r="F4" s="359" t="s">
        <v>126</v>
      </c>
      <c r="G4" s="360"/>
      <c r="H4" s="360"/>
      <c r="I4" s="360"/>
      <c r="J4" s="360"/>
      <c r="K4" s="361"/>
      <c r="L4" s="362">
        <f xml:space="preserve"> IF(Functions!E6&lt;&gt;"N/A",SUM(C4*Functions!E6/1000,- O7),"N/A")</f>
        <v>-5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3" ht="13.5" customHeight="1">
      <c r="A5" s="355" t="s">
        <v>127</v>
      </c>
      <c r="B5" s="356"/>
      <c r="C5" s="365" t="s">
        <v>128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3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3" ht="13.5" customHeight="1">
      <c r="A7" s="345">
        <f>COUNTIF(F40:HQ40,"P")</f>
        <v>12</v>
      </c>
      <c r="B7" s="346"/>
      <c r="C7" s="347">
        <f>COUNTIF(F40:HQ40,"F")</f>
        <v>2</v>
      </c>
      <c r="D7" s="348"/>
      <c r="E7" s="346"/>
      <c r="F7" s="347">
        <f>SUM(O7,- A7,- C7)</f>
        <v>1</v>
      </c>
      <c r="G7" s="348"/>
      <c r="H7" s="348"/>
      <c r="I7" s="348"/>
      <c r="J7" s="348"/>
      <c r="K7" s="349"/>
      <c r="L7" s="180">
        <f>COUNTIF(E39:HQ39,"N")</f>
        <v>11</v>
      </c>
      <c r="M7" s="180">
        <f>COUNTIF(E39:HQ39,"A")</f>
        <v>3</v>
      </c>
      <c r="N7" s="180">
        <f>COUNTIF(E39:HQ39,"B")</f>
        <v>1</v>
      </c>
      <c r="O7" s="350">
        <f>COUNTA(E9:HT9)</f>
        <v>15</v>
      </c>
      <c r="P7" s="348"/>
      <c r="Q7" s="348"/>
      <c r="R7" s="348"/>
      <c r="S7" s="348"/>
      <c r="T7" s="351"/>
      <c r="U7" s="81"/>
    </row>
    <row r="8" spans="1:23" ht="10.5"/>
    <row r="9" spans="1:23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239" t="s">
        <v>136</v>
      </c>
      <c r="Q9" s="239" t="s">
        <v>137</v>
      </c>
      <c r="R9" s="239" t="s">
        <v>138</v>
      </c>
      <c r="S9" s="239" t="s">
        <v>139</v>
      </c>
      <c r="T9" s="240" t="s">
        <v>140</v>
      </c>
      <c r="U9" s="83"/>
      <c r="V9" s="84"/>
      <c r="W9" s="85"/>
    </row>
    <row r="10" spans="1:23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205"/>
    </row>
    <row r="11" spans="1:23" ht="13.5" customHeight="1">
      <c r="A11" s="203"/>
      <c r="B11" s="86"/>
      <c r="C11" s="87"/>
      <c r="D11" s="88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202"/>
      <c r="V11" s="80"/>
    </row>
    <row r="12" spans="1:23" ht="13.5" customHeight="1">
      <c r="A12" s="203"/>
      <c r="B12" s="86"/>
      <c r="C12" s="87"/>
      <c r="D12" s="88"/>
      <c r="E12" s="91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202"/>
    </row>
    <row r="13" spans="1:23" ht="13.5" customHeight="1">
      <c r="A13" s="203"/>
      <c r="B13" s="86"/>
      <c r="C13" s="87"/>
      <c r="D13" s="88"/>
      <c r="E13" s="9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202"/>
    </row>
    <row r="14" spans="1:23" ht="13.5" customHeight="1">
      <c r="A14" s="203"/>
      <c r="B14" s="86" t="s">
        <v>318</v>
      </c>
      <c r="C14" s="87"/>
      <c r="D14" s="88"/>
      <c r="E14" s="93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202"/>
    </row>
    <row r="15" spans="1:23" ht="13.5" customHeight="1">
      <c r="A15" s="203"/>
      <c r="B15" s="86"/>
      <c r="C15" s="87"/>
      <c r="D15" s="88">
        <v>29</v>
      </c>
      <c r="E15" s="93"/>
      <c r="F15" s="172" t="s">
        <v>144</v>
      </c>
      <c r="G15" s="172" t="s">
        <v>144</v>
      </c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202"/>
    </row>
    <row r="16" spans="1:23" ht="13.5" customHeight="1">
      <c r="A16" s="203"/>
      <c r="B16" s="86"/>
      <c r="C16" s="87"/>
      <c r="D16" s="88">
        <v>30</v>
      </c>
      <c r="E16" s="93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202"/>
    </row>
    <row r="17" spans="1:21" ht="13.5" customHeight="1">
      <c r="A17" s="203"/>
      <c r="B17" s="86"/>
      <c r="C17" s="87"/>
      <c r="D17" s="88">
        <v>31</v>
      </c>
      <c r="E17" s="9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202"/>
      <c r="U17" s="173"/>
    </row>
    <row r="18" spans="1:21" ht="13.5" customHeight="1">
      <c r="A18" s="203"/>
      <c r="B18" s="86" t="s">
        <v>319</v>
      </c>
      <c r="C18" s="87"/>
      <c r="D18" s="88"/>
      <c r="E18" s="93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202"/>
      <c r="U18" s="173"/>
    </row>
    <row r="19" spans="1:21" ht="13.5" customHeight="1">
      <c r="A19" s="203"/>
      <c r="B19" s="86"/>
      <c r="C19" s="87"/>
      <c r="D19" s="336">
        <v>2</v>
      </c>
      <c r="E19" s="336"/>
      <c r="F19" s="172" t="s">
        <v>144</v>
      </c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202"/>
    </row>
    <row r="20" spans="1:21" ht="13.5" customHeight="1">
      <c r="A20" s="203"/>
      <c r="B20" s="86"/>
      <c r="C20" s="87"/>
      <c r="D20" s="88">
        <v>3</v>
      </c>
      <c r="E20" s="93"/>
      <c r="F20" s="172"/>
      <c r="G20" s="172" t="s">
        <v>144</v>
      </c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202"/>
    </row>
    <row r="21" spans="1:21" ht="13.5" customHeight="1">
      <c r="A21" s="203"/>
      <c r="B21" s="86"/>
      <c r="C21" s="87"/>
      <c r="D21" s="88">
        <v>4</v>
      </c>
      <c r="E21" s="93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202"/>
    </row>
    <row r="22" spans="1:21" ht="13.5" customHeight="1">
      <c r="A22" s="203"/>
      <c r="B22" s="86" t="s">
        <v>320</v>
      </c>
      <c r="C22" s="87"/>
      <c r="D22" s="88"/>
      <c r="E22" s="93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202"/>
    </row>
    <row r="23" spans="1:21" ht="13.5" customHeight="1">
      <c r="A23" s="203"/>
      <c r="B23" s="86"/>
      <c r="C23" s="87"/>
      <c r="D23" s="88">
        <v>2000</v>
      </c>
      <c r="E23" s="93"/>
      <c r="F23" s="172" t="s">
        <v>144</v>
      </c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202"/>
    </row>
    <row r="24" spans="1:21" ht="13.5" customHeight="1">
      <c r="A24" s="203"/>
      <c r="B24" s="86"/>
      <c r="C24" s="87"/>
      <c r="D24" s="88">
        <v>2009</v>
      </c>
      <c r="E24" s="93"/>
      <c r="F24" s="172"/>
      <c r="G24" s="172" t="s">
        <v>144</v>
      </c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202"/>
    </row>
    <row r="25" spans="1:21" ht="13.5" customHeight="1">
      <c r="A25" s="203"/>
      <c r="B25" s="86"/>
      <c r="C25" s="87"/>
      <c r="D25" s="88"/>
      <c r="E25" s="93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202"/>
    </row>
    <row r="26" spans="1:21" ht="13.5" customHeight="1">
      <c r="A26" s="203"/>
      <c r="B26" s="86"/>
      <c r="C26" s="87"/>
      <c r="D26" s="88"/>
      <c r="E26" s="93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202"/>
    </row>
    <row r="27" spans="1:21" ht="13.5" customHeight="1">
      <c r="A27" s="203"/>
      <c r="B27" s="86"/>
      <c r="C27" s="87"/>
      <c r="D27" s="88"/>
      <c r="E27" s="93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202"/>
    </row>
    <row r="28" spans="1:21" ht="13.5" customHeight="1">
      <c r="A28" s="203"/>
      <c r="B28" s="86"/>
      <c r="C28" s="87"/>
      <c r="D28" s="88"/>
      <c r="E28" s="93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202"/>
    </row>
    <row r="29" spans="1:21" ht="13.5" customHeight="1">
      <c r="A29" s="203"/>
      <c r="B29" s="86"/>
      <c r="C29" s="87"/>
      <c r="D29" s="88"/>
      <c r="E29" s="93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202"/>
    </row>
    <row r="30" spans="1:21" ht="13.5" customHeight="1">
      <c r="A30" s="203"/>
      <c r="B30" s="95"/>
      <c r="C30" s="96"/>
      <c r="D30" s="97"/>
      <c r="E30" s="98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204"/>
    </row>
    <row r="31" spans="1:21" ht="13.5" customHeight="1">
      <c r="A31" s="216" t="s">
        <v>147</v>
      </c>
      <c r="B31" s="100" t="s">
        <v>198</v>
      </c>
      <c r="C31" s="101"/>
      <c r="D31" s="102"/>
      <c r="E31" s="103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205"/>
    </row>
    <row r="32" spans="1:21" ht="13.5" customHeight="1">
      <c r="A32" s="215"/>
      <c r="B32" s="105"/>
      <c r="C32" s="106"/>
      <c r="D32" s="107" t="s">
        <v>199</v>
      </c>
      <c r="E32" s="108"/>
      <c r="F32" s="172" t="s">
        <v>144</v>
      </c>
      <c r="G32" s="172" t="s">
        <v>144</v>
      </c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202"/>
    </row>
    <row r="33" spans="1:20" ht="13.5" customHeight="1">
      <c r="A33" s="215"/>
      <c r="B33" s="105"/>
      <c r="C33" s="176"/>
      <c r="D33" s="107" t="s">
        <v>200</v>
      </c>
      <c r="E33" s="110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202"/>
    </row>
    <row r="34" spans="1:20" ht="13.5" customHeight="1">
      <c r="A34" s="215"/>
      <c r="B34" s="105" t="s">
        <v>201</v>
      </c>
      <c r="C34" s="176"/>
      <c r="D34" s="107"/>
      <c r="E34" s="110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202"/>
    </row>
    <row r="35" spans="1:20" ht="13.5" customHeight="1">
      <c r="A35" s="215"/>
      <c r="B35" s="105"/>
      <c r="C35" s="176"/>
      <c r="D35" s="107"/>
      <c r="E35" s="110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202"/>
    </row>
    <row r="36" spans="1:20" ht="13.5" customHeight="1">
      <c r="A36" s="215"/>
      <c r="B36" s="105" t="s">
        <v>202</v>
      </c>
      <c r="C36" s="176"/>
      <c r="D36" s="107"/>
      <c r="E36" s="110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202"/>
    </row>
    <row r="37" spans="1:20" ht="13.5" customHeight="1">
      <c r="A37" s="215"/>
      <c r="B37" s="105"/>
      <c r="C37" s="176"/>
      <c r="D37" s="107" t="s">
        <v>213</v>
      </c>
      <c r="E37" s="110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202"/>
    </row>
    <row r="38" spans="1:20" ht="13.5" customHeight="1">
      <c r="A38" s="215"/>
      <c r="B38" s="190"/>
      <c r="C38" s="191"/>
      <c r="D38" s="192" t="s">
        <v>246</v>
      </c>
      <c r="E38" s="193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206"/>
    </row>
    <row r="39" spans="1:20" ht="13.5" customHeight="1">
      <c r="A39" s="216" t="s">
        <v>158</v>
      </c>
      <c r="B39" s="337" t="s">
        <v>159</v>
      </c>
      <c r="C39" s="337"/>
      <c r="D39" s="337"/>
      <c r="E39" s="306"/>
      <c r="F39" s="195" t="s">
        <v>62</v>
      </c>
      <c r="G39" s="195" t="s">
        <v>111</v>
      </c>
      <c r="H39" s="195" t="s">
        <v>111</v>
      </c>
      <c r="I39" s="195" t="s">
        <v>111</v>
      </c>
      <c r="J39" s="195" t="s">
        <v>111</v>
      </c>
      <c r="K39" s="195" t="s">
        <v>112</v>
      </c>
      <c r="L39" s="195" t="s">
        <v>62</v>
      </c>
      <c r="M39" s="195" t="s">
        <v>111</v>
      </c>
      <c r="N39" s="195" t="s">
        <v>111</v>
      </c>
      <c r="O39" s="195" t="s">
        <v>111</v>
      </c>
      <c r="P39" s="195" t="s">
        <v>111</v>
      </c>
      <c r="Q39" s="195" t="s">
        <v>111</v>
      </c>
      <c r="R39" s="195" t="s">
        <v>62</v>
      </c>
      <c r="S39" s="195" t="s">
        <v>111</v>
      </c>
      <c r="T39" s="207" t="s">
        <v>111</v>
      </c>
    </row>
    <row r="40" spans="1:20" ht="13.5" customHeight="1">
      <c r="A40" s="215"/>
      <c r="B40" s="338" t="s">
        <v>160</v>
      </c>
      <c r="C40" s="338"/>
      <c r="D40" s="338"/>
      <c r="E40" s="112"/>
      <c r="F40" s="177" t="s">
        <v>216</v>
      </c>
      <c r="G40" s="177" t="s">
        <v>216</v>
      </c>
      <c r="H40" s="177" t="s">
        <v>216</v>
      </c>
      <c r="I40" s="177" t="s">
        <v>216</v>
      </c>
      <c r="J40" s="177" t="s">
        <v>216</v>
      </c>
      <c r="K40" s="177" t="s">
        <v>200</v>
      </c>
      <c r="L40" s="177" t="s">
        <v>200</v>
      </c>
      <c r="M40" s="177" t="s">
        <v>216</v>
      </c>
      <c r="N40" s="177" t="s">
        <v>216</v>
      </c>
      <c r="O40" s="177" t="s">
        <v>216</v>
      </c>
      <c r="P40" s="177" t="s">
        <v>216</v>
      </c>
      <c r="Q40" s="177" t="s">
        <v>216</v>
      </c>
      <c r="R40" s="177"/>
      <c r="S40" s="177" t="s">
        <v>216</v>
      </c>
      <c r="T40" s="209" t="s">
        <v>216</v>
      </c>
    </row>
    <row r="41" spans="1:20" ht="13.5" customHeight="1">
      <c r="A41" s="215"/>
      <c r="B41" s="339" t="s">
        <v>161</v>
      </c>
      <c r="C41" s="339"/>
      <c r="D41" s="339"/>
      <c r="E41" s="113"/>
      <c r="F41" s="114">
        <v>39139</v>
      </c>
      <c r="G41" s="114">
        <v>39139</v>
      </c>
      <c r="H41" s="114">
        <v>39140</v>
      </c>
      <c r="I41" s="114">
        <v>39141</v>
      </c>
      <c r="J41" s="114">
        <v>39142</v>
      </c>
      <c r="K41" s="114">
        <v>39143</v>
      </c>
      <c r="L41" s="114">
        <v>39144</v>
      </c>
      <c r="M41" s="114">
        <v>39145</v>
      </c>
      <c r="N41" s="114">
        <v>39146</v>
      </c>
      <c r="O41" s="114">
        <v>39147</v>
      </c>
      <c r="P41" s="114">
        <v>39148</v>
      </c>
      <c r="Q41" s="114">
        <v>39149</v>
      </c>
      <c r="R41" s="114">
        <v>39150</v>
      </c>
      <c r="S41" s="114">
        <v>39151</v>
      </c>
      <c r="T41" s="210">
        <v>39152</v>
      </c>
    </row>
    <row r="42" spans="1:20" ht="75">
      <c r="A42" s="234"/>
      <c r="B42" s="335" t="s">
        <v>162</v>
      </c>
      <c r="C42" s="335"/>
      <c r="D42" s="335"/>
      <c r="E42" s="212"/>
      <c r="F42" s="213"/>
      <c r="G42" s="213"/>
      <c r="H42" s="213"/>
      <c r="I42" s="213"/>
      <c r="J42" s="213"/>
      <c r="K42" s="213" t="s">
        <v>218</v>
      </c>
      <c r="L42" s="213" t="s">
        <v>279</v>
      </c>
      <c r="M42" s="213" t="s">
        <v>280</v>
      </c>
      <c r="N42" s="213" t="s">
        <v>281</v>
      </c>
      <c r="O42" s="213" t="s">
        <v>282</v>
      </c>
      <c r="P42" s="213" t="s">
        <v>283</v>
      </c>
      <c r="Q42" s="213" t="s">
        <v>284</v>
      </c>
      <c r="R42" s="213" t="s">
        <v>285</v>
      </c>
      <c r="S42" s="213" t="s">
        <v>217</v>
      </c>
      <c r="T42" s="214" t="s">
        <v>286</v>
      </c>
    </row>
    <row r="43" spans="1:20" ht="10.5">
      <c r="A43" s="196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19:E19"/>
    <mergeCell ref="B39:D39"/>
    <mergeCell ref="B40:D40"/>
    <mergeCell ref="B41:D41"/>
    <mergeCell ref="B42:D42"/>
  </mergeCells>
  <phoneticPr fontId="34" type="noConversion"/>
  <dataValidations count="3">
    <dataValidation type="list" allowBlank="1" showInputMessage="1" showErrorMessage="1" sqref="F10:T38" xr:uid="{B927887D-4CEF-4729-8ADB-501AF95D70D6}">
      <formula1>"O, "</formula1>
    </dataValidation>
    <dataValidation type="list" allowBlank="1" showInputMessage="1" showErrorMessage="1" sqref="F40:T40" xr:uid="{133453AB-F41A-48FB-B437-7CD96FA8F6C9}">
      <formula1>"P,F, "</formula1>
    </dataValidation>
    <dataValidation type="list" allowBlank="1" showInputMessage="1" showErrorMessage="1" sqref="F39:T39" xr:uid="{4698D97F-EBCF-4F13-8930-C0D41CAF61A4}">
      <formula1>"N,A,B,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9528-C39E-42EF-B1BF-025BB2BDDB1D}">
  <dimension ref="A1:V51"/>
  <sheetViews>
    <sheetView workbookViewId="0">
      <pane ySplit="9" topLeftCell="A10" activePane="bottomLeft" state="frozen"/>
      <selection pane="bottomLeft" activeCell="A3" sqref="A3:B3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26.42578125" style="283" customWidth="1"/>
    <col min="5" max="5" width="1.85546875" style="78" hidden="1" customWidth="1"/>
    <col min="6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2.85546875" style="78" bestFit="1" customWidth="1"/>
    <col min="21" max="21" width="2.85546875" style="78" customWidth="1"/>
    <col min="22" max="16384" width="9" style="78"/>
  </cols>
  <sheetData>
    <row r="1" spans="1:22" ht="13.5" customHeight="1">
      <c r="A1" s="76"/>
      <c r="B1" s="77"/>
    </row>
    <row r="2" spans="1:22" ht="13.5" customHeight="1">
      <c r="A2" s="367" t="s">
        <v>121</v>
      </c>
      <c r="B2" s="368"/>
      <c r="C2" s="369"/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Functions!D20</f>
        <v>addDesignIdea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2" ht="13.5" customHeight="1">
      <c r="A3" s="355" t="s">
        <v>122</v>
      </c>
      <c r="B3" s="356"/>
      <c r="C3" s="377" t="s">
        <v>321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 t="s">
        <v>321</v>
      </c>
      <c r="M3" s="378"/>
      <c r="N3" s="378"/>
      <c r="O3" s="178"/>
      <c r="P3" s="178"/>
      <c r="Q3" s="178"/>
      <c r="R3" s="178"/>
      <c r="S3" s="178"/>
      <c r="T3" s="179"/>
    </row>
    <row r="4" spans="1:22" ht="13.5" customHeight="1">
      <c r="A4" s="355" t="s">
        <v>125</v>
      </c>
      <c r="B4" s="356"/>
      <c r="C4" s="357"/>
      <c r="D4" s="358"/>
      <c r="E4" s="189"/>
      <c r="F4" s="359" t="s">
        <v>126</v>
      </c>
      <c r="G4" s="360"/>
      <c r="H4" s="360"/>
      <c r="I4" s="360"/>
      <c r="J4" s="360"/>
      <c r="K4" s="361"/>
      <c r="L4" s="362">
        <v>0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2" ht="36" customHeight="1">
      <c r="A5" s="355" t="s">
        <v>127</v>
      </c>
      <c r="B5" s="356"/>
      <c r="C5" s="365" t="s">
        <v>322</v>
      </c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2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2" ht="13.5" customHeight="1">
      <c r="A7" s="345">
        <f>COUNTIF(F50:HJ50,"P")</f>
        <v>8</v>
      </c>
      <c r="B7" s="346"/>
      <c r="C7" s="347">
        <f>COUNTIF(F50:HJ50,"F")</f>
        <v>0</v>
      </c>
      <c r="D7" s="348"/>
      <c r="E7" s="346"/>
      <c r="F7" s="347">
        <f>SUM(O7,- A7,- C7)</f>
        <v>0</v>
      </c>
      <c r="G7" s="348"/>
      <c r="H7" s="348"/>
      <c r="I7" s="348"/>
      <c r="J7" s="348"/>
      <c r="K7" s="349"/>
      <c r="L7" s="180">
        <f>COUNTIF(E49:HJ49,"N")</f>
        <v>1</v>
      </c>
      <c r="M7" s="180">
        <f>COUNTIF(E49:HJ49,"A")</f>
        <v>7</v>
      </c>
      <c r="N7" s="180">
        <f>COUNTIF(E49:HJ49,"B")</f>
        <v>0</v>
      </c>
      <c r="O7" s="350">
        <f>COUNTA(E9:HM9)</f>
        <v>8</v>
      </c>
      <c r="P7" s="348"/>
      <c r="Q7" s="348"/>
      <c r="R7" s="348"/>
      <c r="S7" s="348"/>
      <c r="T7" s="351"/>
      <c r="U7" s="81"/>
    </row>
    <row r="8" spans="1:22" ht="10.5"/>
    <row r="9" spans="1:22" ht="46.5" customHeight="1">
      <c r="A9" s="235"/>
      <c r="B9" s="236"/>
      <c r="C9" s="237"/>
      <c r="D9" s="284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83"/>
      <c r="O9" s="84"/>
      <c r="P9" s="85"/>
    </row>
    <row r="10" spans="1:22" ht="13.5" customHeight="1">
      <c r="A10" s="217" t="s">
        <v>141</v>
      </c>
      <c r="B10" s="218" t="s">
        <v>168</v>
      </c>
      <c r="C10" s="219"/>
      <c r="D10" s="285"/>
      <c r="E10" s="91"/>
      <c r="F10" s="175"/>
      <c r="G10" s="175"/>
      <c r="H10" s="175"/>
      <c r="I10" s="175"/>
      <c r="J10" s="175"/>
      <c r="K10" s="175"/>
      <c r="L10" s="175"/>
      <c r="M10" s="175"/>
    </row>
    <row r="11" spans="1:22" ht="13.5" customHeight="1">
      <c r="A11" s="203"/>
      <c r="B11" s="86"/>
      <c r="C11" s="87"/>
      <c r="D11" s="282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O11" s="80"/>
    </row>
    <row r="12" spans="1:22" ht="13.5" customHeight="1">
      <c r="A12" s="203"/>
      <c r="B12" s="86"/>
      <c r="C12" s="87"/>
      <c r="D12" s="282" t="s">
        <v>323</v>
      </c>
      <c r="E12" s="91"/>
      <c r="F12" s="172"/>
      <c r="G12" s="172"/>
      <c r="H12" s="172"/>
      <c r="I12" s="172"/>
      <c r="J12" s="172"/>
      <c r="K12" s="172"/>
      <c r="L12" s="172"/>
      <c r="M12" s="172"/>
    </row>
    <row r="13" spans="1:22" ht="13.5" customHeight="1">
      <c r="A13" s="203"/>
      <c r="B13" s="86" t="s">
        <v>324</v>
      </c>
      <c r="C13" s="87"/>
      <c r="D13" s="282"/>
      <c r="E13" s="93"/>
      <c r="F13" s="172"/>
      <c r="G13" s="172"/>
      <c r="H13" s="172"/>
      <c r="I13" s="172"/>
      <c r="J13" s="172"/>
      <c r="K13" s="172"/>
      <c r="L13" s="172"/>
      <c r="M13" s="172"/>
    </row>
    <row r="14" spans="1:22" ht="13.5" customHeight="1">
      <c r="A14" s="203"/>
      <c r="B14" s="86"/>
      <c r="C14" s="87"/>
      <c r="D14" s="282" t="b">
        <v>1</v>
      </c>
      <c r="E14" s="93"/>
      <c r="F14" s="172"/>
      <c r="G14" s="172" t="s">
        <v>144</v>
      </c>
      <c r="H14" s="172"/>
      <c r="I14" s="172" t="s">
        <v>144</v>
      </c>
      <c r="J14" s="172" t="s">
        <v>144</v>
      </c>
      <c r="K14" s="172" t="s">
        <v>144</v>
      </c>
      <c r="L14" s="172" t="s">
        <v>144</v>
      </c>
      <c r="M14" s="172" t="s">
        <v>144</v>
      </c>
    </row>
    <row r="15" spans="1:22" ht="13.5" customHeight="1">
      <c r="A15" s="203"/>
      <c r="B15" s="86"/>
      <c r="C15" s="87"/>
      <c r="D15" s="282" t="b">
        <v>0</v>
      </c>
      <c r="E15" s="93"/>
      <c r="F15" s="172"/>
      <c r="G15" s="172"/>
      <c r="H15" s="172" t="s">
        <v>144</v>
      </c>
      <c r="I15" s="172"/>
      <c r="J15" s="172"/>
      <c r="K15" s="172"/>
      <c r="L15" s="172"/>
      <c r="M15" s="172"/>
    </row>
    <row r="16" spans="1:22" ht="13.5" customHeight="1">
      <c r="A16" s="203"/>
      <c r="B16" s="86"/>
      <c r="C16" s="87"/>
      <c r="D16" s="282" t="s">
        <v>325</v>
      </c>
      <c r="E16" s="93"/>
      <c r="F16" s="172" t="s">
        <v>144</v>
      </c>
      <c r="G16" s="172"/>
      <c r="H16" s="172"/>
      <c r="I16" s="172"/>
      <c r="J16" s="172"/>
      <c r="K16" s="172"/>
      <c r="L16" s="172"/>
      <c r="M16" s="172"/>
      <c r="N16" s="173"/>
    </row>
    <row r="17" spans="1:14" ht="13.5" customHeight="1">
      <c r="A17" s="203"/>
      <c r="B17" s="86" t="s">
        <v>308</v>
      </c>
      <c r="C17" s="87"/>
      <c r="D17" s="282"/>
      <c r="E17" s="93"/>
      <c r="F17" s="172"/>
      <c r="G17" s="172"/>
      <c r="H17" s="172"/>
      <c r="I17" s="172"/>
      <c r="J17" s="172"/>
      <c r="K17" s="172"/>
      <c r="L17" s="172"/>
      <c r="M17" s="172"/>
      <c r="N17" s="173"/>
    </row>
    <row r="18" spans="1:14" ht="13.5" customHeight="1">
      <c r="A18" s="203"/>
      <c r="B18" s="86"/>
      <c r="C18" s="87"/>
      <c r="D18" s="336" t="s">
        <v>326</v>
      </c>
      <c r="E18" s="429"/>
      <c r="F18" s="172" t="s">
        <v>144</v>
      </c>
      <c r="G18" s="172"/>
      <c r="H18" s="172"/>
      <c r="I18" s="172" t="s">
        <v>144</v>
      </c>
      <c r="J18" s="172" t="s">
        <v>144</v>
      </c>
      <c r="K18" s="172" t="s">
        <v>144</v>
      </c>
      <c r="L18" s="172" t="s">
        <v>144</v>
      </c>
      <c r="M18" s="172" t="s">
        <v>144</v>
      </c>
    </row>
    <row r="19" spans="1:14" ht="13.5" customHeight="1">
      <c r="A19" s="203"/>
      <c r="B19" s="86"/>
      <c r="C19" s="87"/>
      <c r="D19" s="282" t="s">
        <v>327</v>
      </c>
      <c r="E19" s="93"/>
      <c r="F19" s="172"/>
      <c r="G19" s="172" t="s">
        <v>144</v>
      </c>
      <c r="H19" s="172"/>
      <c r="I19" s="172"/>
      <c r="J19" s="172"/>
      <c r="K19" s="172"/>
      <c r="L19" s="172"/>
      <c r="M19" s="172"/>
    </row>
    <row r="20" spans="1:14" ht="13.5" customHeight="1">
      <c r="A20" s="203"/>
      <c r="B20" s="86"/>
      <c r="C20" s="87"/>
      <c r="D20" s="282" t="s">
        <v>325</v>
      </c>
      <c r="E20" s="93"/>
      <c r="F20" s="172"/>
      <c r="G20" s="172"/>
      <c r="H20" s="172" t="s">
        <v>144</v>
      </c>
      <c r="I20" s="172"/>
      <c r="J20" s="172"/>
      <c r="K20" s="172"/>
      <c r="L20" s="172"/>
      <c r="M20" s="172"/>
    </row>
    <row r="21" spans="1:14" ht="13.5" customHeight="1">
      <c r="A21" s="203"/>
      <c r="B21" s="86" t="s">
        <v>328</v>
      </c>
      <c r="C21" s="87"/>
      <c r="D21" s="282"/>
      <c r="E21" s="93"/>
      <c r="F21" s="172"/>
      <c r="G21" s="172"/>
      <c r="H21" s="172"/>
      <c r="I21" s="172"/>
      <c r="J21" s="172"/>
      <c r="K21" s="172"/>
      <c r="L21" s="172"/>
      <c r="M21" s="172"/>
    </row>
    <row r="22" spans="1:14" ht="13.5" customHeight="1">
      <c r="A22" s="203"/>
      <c r="B22" s="86"/>
      <c r="C22" s="87"/>
      <c r="D22" s="282" t="s">
        <v>329</v>
      </c>
      <c r="E22" s="93"/>
      <c r="F22" s="172" t="s">
        <v>144</v>
      </c>
      <c r="G22" s="172" t="s">
        <v>144</v>
      </c>
      <c r="H22" s="172" t="s">
        <v>144</v>
      </c>
      <c r="I22" s="172"/>
      <c r="J22" s="172" t="s">
        <v>144</v>
      </c>
      <c r="K22" s="172" t="s">
        <v>144</v>
      </c>
      <c r="L22" s="172" t="s">
        <v>144</v>
      </c>
      <c r="M22" s="172" t="s">
        <v>144</v>
      </c>
    </row>
    <row r="23" spans="1:14" ht="13.5" customHeight="1">
      <c r="A23" s="203"/>
      <c r="B23" s="86"/>
      <c r="C23" s="87"/>
      <c r="D23" s="282" t="s">
        <v>325</v>
      </c>
      <c r="E23" s="93"/>
      <c r="F23" s="172"/>
      <c r="G23" s="172"/>
      <c r="H23" s="172"/>
      <c r="I23" s="172" t="s">
        <v>144</v>
      </c>
      <c r="J23" s="172"/>
      <c r="K23" s="172"/>
      <c r="L23" s="172"/>
      <c r="M23" s="172"/>
    </row>
    <row r="24" spans="1:14" ht="13.5" customHeight="1">
      <c r="A24" s="203"/>
      <c r="B24" s="86" t="s">
        <v>303</v>
      </c>
      <c r="C24" s="87"/>
      <c r="D24" s="282"/>
      <c r="E24" s="93"/>
      <c r="F24" s="172"/>
      <c r="G24" s="172"/>
      <c r="H24" s="172"/>
      <c r="I24" s="172"/>
      <c r="J24" s="172"/>
      <c r="K24" s="172"/>
      <c r="L24" s="172"/>
      <c r="M24" s="172"/>
    </row>
    <row r="25" spans="1:14" ht="13.5" customHeight="1">
      <c r="A25" s="203"/>
      <c r="B25" s="86"/>
      <c r="C25" s="87"/>
      <c r="D25" s="282" t="s">
        <v>325</v>
      </c>
      <c r="E25" s="93"/>
      <c r="F25" s="172"/>
      <c r="G25" s="172"/>
      <c r="H25" s="172"/>
      <c r="I25" s="172"/>
      <c r="J25" s="172" t="s">
        <v>144</v>
      </c>
      <c r="K25" s="172"/>
      <c r="L25" s="172"/>
      <c r="M25" s="172"/>
    </row>
    <row r="26" spans="1:14" ht="13.5" customHeight="1">
      <c r="A26" s="203"/>
      <c r="B26" s="86"/>
      <c r="C26" s="87"/>
      <c r="D26" s="282" t="s">
        <v>303</v>
      </c>
      <c r="E26" s="93"/>
      <c r="F26" s="172" t="s">
        <v>144</v>
      </c>
      <c r="G26" s="172" t="s">
        <v>144</v>
      </c>
      <c r="H26" s="172" t="s">
        <v>144</v>
      </c>
      <c r="I26" s="172" t="s">
        <v>144</v>
      </c>
      <c r="J26" s="172"/>
      <c r="K26" s="172" t="s">
        <v>144</v>
      </c>
      <c r="L26" s="172" t="s">
        <v>144</v>
      </c>
      <c r="M26" s="172"/>
    </row>
    <row r="27" spans="1:14" ht="13.5" customHeight="1">
      <c r="A27" s="203"/>
      <c r="B27" s="86" t="s">
        <v>330</v>
      </c>
      <c r="C27" s="87"/>
      <c r="D27" s="282"/>
      <c r="E27" s="93"/>
      <c r="F27" s="172"/>
      <c r="G27" s="172"/>
      <c r="H27" s="172"/>
      <c r="I27" s="172"/>
      <c r="J27" s="172"/>
      <c r="K27" s="172"/>
      <c r="L27" s="172"/>
      <c r="M27" s="172"/>
    </row>
    <row r="28" spans="1:14" ht="13.5" customHeight="1">
      <c r="A28" s="203"/>
      <c r="B28" s="86"/>
      <c r="C28" s="87"/>
      <c r="D28" s="282" t="s">
        <v>331</v>
      </c>
      <c r="E28" s="93"/>
      <c r="F28" s="172" t="s">
        <v>144</v>
      </c>
      <c r="G28" s="172" t="s">
        <v>144</v>
      </c>
      <c r="H28" s="172" t="s">
        <v>144</v>
      </c>
      <c r="I28" s="172" t="s">
        <v>144</v>
      </c>
      <c r="J28" s="172" t="s">
        <v>144</v>
      </c>
      <c r="K28" s="172"/>
      <c r="L28" s="172" t="s">
        <v>144</v>
      </c>
      <c r="M28" s="172" t="s">
        <v>144</v>
      </c>
    </row>
    <row r="29" spans="1:14" ht="13.5" customHeight="1">
      <c r="A29" s="203"/>
      <c r="B29" s="86"/>
      <c r="C29" s="87"/>
      <c r="D29" s="282" t="s">
        <v>327</v>
      </c>
      <c r="E29" s="93"/>
      <c r="F29" s="172"/>
      <c r="G29" s="172"/>
      <c r="H29" s="172"/>
      <c r="I29" s="172"/>
      <c r="J29" s="172"/>
      <c r="K29" s="172" t="s">
        <v>144</v>
      </c>
      <c r="L29" s="172"/>
      <c r="M29" s="172"/>
    </row>
    <row r="30" spans="1:14" ht="13.5" customHeight="1">
      <c r="A30" s="203"/>
      <c r="B30" s="86" t="s">
        <v>332</v>
      </c>
      <c r="C30" s="87"/>
      <c r="D30" s="282"/>
      <c r="E30" s="93"/>
      <c r="F30" s="172"/>
      <c r="G30" s="172"/>
      <c r="H30" s="172"/>
      <c r="I30" s="172"/>
      <c r="J30" s="172"/>
      <c r="K30" s="172"/>
      <c r="L30" s="172"/>
      <c r="M30" s="172"/>
    </row>
    <row r="31" spans="1:14" ht="126.75" customHeight="1">
      <c r="A31" s="203"/>
      <c r="B31" s="86"/>
      <c r="C31" s="87"/>
      <c r="D31" s="282" t="s">
        <v>333</v>
      </c>
      <c r="E31" s="93"/>
      <c r="F31" s="172"/>
      <c r="G31" s="172"/>
      <c r="H31" s="172"/>
      <c r="I31" s="172"/>
      <c r="J31" s="172"/>
      <c r="K31" s="172"/>
      <c r="L31" s="172" t="s">
        <v>144</v>
      </c>
      <c r="M31" s="172"/>
    </row>
    <row r="32" spans="1:14" ht="128.25">
      <c r="A32" s="203"/>
      <c r="B32" s="86"/>
      <c r="C32" s="87"/>
      <c r="D32" s="282" t="s">
        <v>334</v>
      </c>
      <c r="E32" s="93"/>
      <c r="F32" s="172" t="s">
        <v>144</v>
      </c>
      <c r="G32" s="172" t="s">
        <v>144</v>
      </c>
      <c r="H32" s="172" t="s">
        <v>144</v>
      </c>
      <c r="I32" s="172" t="s">
        <v>144</v>
      </c>
      <c r="J32" s="172" t="s">
        <v>144</v>
      </c>
      <c r="K32" s="172" t="s">
        <v>144</v>
      </c>
      <c r="L32" s="172"/>
      <c r="M32" s="172" t="s">
        <v>144</v>
      </c>
    </row>
    <row r="33" spans="1:13" ht="13.5" customHeight="1">
      <c r="A33" s="203"/>
      <c r="B33" s="86" t="s">
        <v>335</v>
      </c>
      <c r="C33" s="87"/>
      <c r="D33" s="282"/>
      <c r="E33" s="93"/>
      <c r="F33" s="172"/>
      <c r="G33" s="172"/>
      <c r="H33" s="172"/>
      <c r="I33" s="172"/>
      <c r="J33" s="172"/>
      <c r="K33" s="172"/>
      <c r="L33" s="172"/>
      <c r="M33" s="172"/>
    </row>
    <row r="34" spans="1:13" ht="117.75">
      <c r="A34" s="203"/>
      <c r="B34" s="86"/>
      <c r="C34" s="87"/>
      <c r="D34" s="282" t="s">
        <v>336</v>
      </c>
      <c r="E34" s="93"/>
      <c r="F34" s="172"/>
      <c r="G34" s="172"/>
      <c r="H34" s="172"/>
      <c r="I34" s="172"/>
      <c r="J34" s="172"/>
      <c r="K34" s="172"/>
      <c r="L34" s="172" t="s">
        <v>144</v>
      </c>
      <c r="M34" s="172"/>
    </row>
    <row r="35" spans="1:13" ht="117.75">
      <c r="A35" s="203"/>
      <c r="B35" s="86"/>
      <c r="C35" s="87"/>
      <c r="D35" s="282" t="s">
        <v>337</v>
      </c>
      <c r="E35" s="93"/>
      <c r="F35" s="172" t="s">
        <v>144</v>
      </c>
      <c r="G35" s="172" t="s">
        <v>144</v>
      </c>
      <c r="H35" s="172" t="s">
        <v>144</v>
      </c>
      <c r="I35" s="172" t="s">
        <v>144</v>
      </c>
      <c r="J35" s="172" t="s">
        <v>144</v>
      </c>
      <c r="K35" s="172" t="s">
        <v>144</v>
      </c>
      <c r="L35" s="172"/>
      <c r="M35" s="172" t="s">
        <v>144</v>
      </c>
    </row>
    <row r="36" spans="1:13" ht="13.5" customHeight="1">
      <c r="A36" s="216" t="s">
        <v>147</v>
      </c>
      <c r="B36" s="100" t="s">
        <v>198</v>
      </c>
      <c r="C36" s="101"/>
      <c r="D36" s="288"/>
      <c r="E36" s="103"/>
      <c r="F36" s="175"/>
      <c r="G36" s="175"/>
      <c r="H36" s="175"/>
      <c r="I36" s="175"/>
      <c r="J36" s="175"/>
      <c r="K36" s="175"/>
      <c r="L36" s="175"/>
      <c r="M36" s="175"/>
    </row>
    <row r="37" spans="1:13" ht="13.5" customHeight="1">
      <c r="A37" s="215"/>
      <c r="B37" s="105"/>
      <c r="C37" s="106"/>
      <c r="D37" s="289" t="s">
        <v>276</v>
      </c>
      <c r="E37" s="108"/>
      <c r="F37" s="172" t="s">
        <v>144</v>
      </c>
      <c r="G37" s="172" t="s">
        <v>144</v>
      </c>
      <c r="H37" s="172" t="s">
        <v>144</v>
      </c>
      <c r="I37" s="172" t="s">
        <v>144</v>
      </c>
      <c r="J37" s="172" t="s">
        <v>144</v>
      </c>
      <c r="K37" s="172" t="s">
        <v>144</v>
      </c>
      <c r="L37" s="172" t="s">
        <v>144</v>
      </c>
      <c r="M37" s="172" t="s">
        <v>144</v>
      </c>
    </row>
    <row r="38" spans="1:13" ht="13.5" customHeight="1">
      <c r="A38" s="215"/>
      <c r="B38" s="105" t="s">
        <v>201</v>
      </c>
      <c r="C38" s="176"/>
      <c r="D38" s="289"/>
      <c r="E38" s="110"/>
      <c r="F38" s="172"/>
      <c r="G38" s="172"/>
      <c r="H38" s="172"/>
      <c r="I38" s="172"/>
      <c r="J38" s="172"/>
      <c r="K38" s="172"/>
      <c r="L38" s="172"/>
      <c r="M38" s="172"/>
    </row>
    <row r="39" spans="1:13" ht="13.5" customHeight="1">
      <c r="A39" s="215"/>
      <c r="B39" s="105"/>
      <c r="C39" s="176"/>
      <c r="D39" s="289"/>
      <c r="E39" s="110"/>
      <c r="F39" s="172"/>
      <c r="G39" s="172"/>
      <c r="H39" s="172"/>
      <c r="I39" s="172"/>
      <c r="J39" s="172"/>
      <c r="K39" s="172"/>
      <c r="L39" s="172"/>
      <c r="M39" s="172"/>
    </row>
    <row r="40" spans="1:13" ht="13.5" customHeight="1">
      <c r="A40" s="215"/>
      <c r="B40" s="105" t="s">
        <v>202</v>
      </c>
      <c r="C40" s="176"/>
      <c r="D40" s="289"/>
      <c r="E40" s="110"/>
      <c r="F40" s="172"/>
      <c r="G40" s="172"/>
      <c r="H40" s="172"/>
      <c r="I40" s="172"/>
      <c r="J40" s="172"/>
      <c r="K40" s="172"/>
      <c r="L40" s="172"/>
      <c r="M40" s="172"/>
    </row>
    <row r="41" spans="1:13" ht="13.5" customHeight="1">
      <c r="A41" s="215"/>
      <c r="B41" s="105"/>
      <c r="C41" s="176"/>
      <c r="D41" s="289" t="s">
        <v>338</v>
      </c>
      <c r="E41" s="110"/>
      <c r="F41" s="172" t="s">
        <v>144</v>
      </c>
      <c r="G41" s="172"/>
      <c r="H41" s="172"/>
      <c r="I41" s="172"/>
      <c r="J41" s="172"/>
      <c r="K41" s="172"/>
      <c r="L41" s="172"/>
      <c r="M41" s="172"/>
    </row>
    <row r="42" spans="1:13" ht="13.5" customHeight="1">
      <c r="A42" s="215"/>
      <c r="B42" s="190"/>
      <c r="C42" s="293"/>
      <c r="D42" s="290" t="s">
        <v>339</v>
      </c>
      <c r="E42" s="294"/>
      <c r="F42" s="194"/>
      <c r="G42" s="194" t="s">
        <v>144</v>
      </c>
      <c r="H42" s="194"/>
      <c r="I42" s="194"/>
      <c r="J42" s="194"/>
      <c r="K42" s="194"/>
      <c r="L42" s="194"/>
      <c r="M42" s="194"/>
    </row>
    <row r="43" spans="1:13" ht="13.5" customHeight="1">
      <c r="A43" s="215"/>
      <c r="B43" s="190"/>
      <c r="C43" s="293"/>
      <c r="D43" s="290" t="s">
        <v>340</v>
      </c>
      <c r="E43" s="294"/>
      <c r="F43" s="194"/>
      <c r="G43" s="194"/>
      <c r="H43" s="194" t="s">
        <v>144</v>
      </c>
      <c r="I43" s="194"/>
      <c r="J43" s="194"/>
      <c r="K43" s="194"/>
      <c r="L43" s="194"/>
      <c r="M43" s="194"/>
    </row>
    <row r="44" spans="1:13" ht="13.5" customHeight="1">
      <c r="A44" s="215"/>
      <c r="B44" s="190"/>
      <c r="C44" s="293"/>
      <c r="D44" s="290" t="s">
        <v>341</v>
      </c>
      <c r="E44" s="294"/>
      <c r="F44" s="194"/>
      <c r="G44" s="194"/>
      <c r="H44" s="194"/>
      <c r="I44" s="194" t="s">
        <v>144</v>
      </c>
      <c r="J44" s="194"/>
      <c r="K44" s="194"/>
      <c r="L44" s="194"/>
      <c r="M44" s="194"/>
    </row>
    <row r="45" spans="1:13" ht="13.5" customHeight="1">
      <c r="A45" s="215"/>
      <c r="B45" s="190"/>
      <c r="C45" s="293"/>
      <c r="D45" s="290" t="s">
        <v>342</v>
      </c>
      <c r="E45" s="294"/>
      <c r="F45" s="194"/>
      <c r="G45" s="194"/>
      <c r="H45" s="194"/>
      <c r="I45" s="194"/>
      <c r="J45" s="194" t="s">
        <v>144</v>
      </c>
      <c r="K45" s="194"/>
      <c r="L45" s="194"/>
      <c r="M45" s="194"/>
    </row>
    <row r="46" spans="1:13" ht="13.5" customHeight="1">
      <c r="A46" s="215"/>
      <c r="B46" s="190"/>
      <c r="C46" s="293"/>
      <c r="D46" s="290" t="s">
        <v>343</v>
      </c>
      <c r="E46" s="294"/>
      <c r="F46" s="194"/>
      <c r="G46" s="194"/>
      <c r="H46" s="194"/>
      <c r="I46" s="194"/>
      <c r="J46" s="194"/>
      <c r="K46" s="194" t="s">
        <v>144</v>
      </c>
      <c r="L46" s="194"/>
      <c r="M46" s="194"/>
    </row>
    <row r="47" spans="1:13" ht="13.5" customHeight="1">
      <c r="A47" s="215"/>
      <c r="B47" s="190"/>
      <c r="C47" s="293"/>
      <c r="D47" s="290" t="s">
        <v>344</v>
      </c>
      <c r="E47" s="294"/>
      <c r="F47" s="194"/>
      <c r="G47" s="194"/>
      <c r="H47" s="194"/>
      <c r="I47" s="194"/>
      <c r="J47" s="194"/>
      <c r="K47" s="194"/>
      <c r="L47" s="194" t="s">
        <v>144</v>
      </c>
      <c r="M47" s="194"/>
    </row>
    <row r="48" spans="1:13" ht="13.5" customHeight="1">
      <c r="A48" s="215"/>
      <c r="B48" s="190"/>
      <c r="C48" s="293"/>
      <c r="D48" s="290" t="s">
        <v>345</v>
      </c>
      <c r="E48" s="294"/>
      <c r="F48" s="194"/>
      <c r="G48" s="194"/>
      <c r="H48" s="194"/>
      <c r="I48" s="194"/>
      <c r="J48" s="194"/>
      <c r="K48" s="194"/>
      <c r="L48" s="194"/>
      <c r="M48" s="194" t="s">
        <v>144</v>
      </c>
    </row>
    <row r="49" spans="1:13" ht="13.5" customHeight="1">
      <c r="A49" s="216" t="s">
        <v>158</v>
      </c>
      <c r="B49" s="430" t="s">
        <v>159</v>
      </c>
      <c r="C49" s="431"/>
      <c r="D49" s="432"/>
      <c r="E49" s="306"/>
      <c r="F49" s="195" t="s">
        <v>62</v>
      </c>
      <c r="G49" s="195" t="s">
        <v>62</v>
      </c>
      <c r="H49" s="195" t="s">
        <v>62</v>
      </c>
      <c r="I49" s="195" t="s">
        <v>62</v>
      </c>
      <c r="J49" s="195" t="s">
        <v>62</v>
      </c>
      <c r="K49" s="195" t="s">
        <v>62</v>
      </c>
      <c r="L49" s="195" t="s">
        <v>62</v>
      </c>
      <c r="M49" s="195" t="s">
        <v>111</v>
      </c>
    </row>
    <row r="50" spans="1:13" ht="13.5" customHeight="1">
      <c r="A50" s="215"/>
      <c r="B50" s="433" t="s">
        <v>160</v>
      </c>
      <c r="C50" s="434"/>
      <c r="D50" s="435"/>
      <c r="E50" s="112"/>
      <c r="F50" s="177" t="s">
        <v>216</v>
      </c>
      <c r="G50" s="177" t="s">
        <v>216</v>
      </c>
      <c r="H50" s="177" t="s">
        <v>216</v>
      </c>
      <c r="I50" s="177" t="s">
        <v>216</v>
      </c>
      <c r="J50" s="177" t="s">
        <v>216</v>
      </c>
      <c r="K50" s="177" t="s">
        <v>216</v>
      </c>
      <c r="L50" s="177" t="s">
        <v>216</v>
      </c>
      <c r="M50" s="177" t="s">
        <v>216</v>
      </c>
    </row>
    <row r="51" spans="1:13" ht="75" customHeight="1">
      <c r="A51" s="234"/>
      <c r="B51" s="335" t="s">
        <v>162</v>
      </c>
      <c r="C51" s="335"/>
      <c r="D51" s="335"/>
      <c r="E51" s="212"/>
      <c r="F51" s="213"/>
      <c r="G51" s="213"/>
      <c r="H51" s="213"/>
      <c r="I51" s="213"/>
      <c r="J51" s="213"/>
      <c r="K51" s="213"/>
      <c r="L51" s="213"/>
      <c r="M51" s="213"/>
    </row>
  </sheetData>
  <mergeCells count="27">
    <mergeCell ref="B51:D51"/>
    <mergeCell ref="A2:B2"/>
    <mergeCell ref="C2:E2"/>
    <mergeCell ref="F2:K2"/>
    <mergeCell ref="L2:T2"/>
    <mergeCell ref="A3:B3"/>
    <mergeCell ref="C3:E3"/>
    <mergeCell ref="F3:K3"/>
    <mergeCell ref="L3:N3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18:E18"/>
    <mergeCell ref="B49:D49"/>
    <mergeCell ref="B50:D50"/>
    <mergeCell ref="A7:B7"/>
    <mergeCell ref="C7:E7"/>
  </mergeCells>
  <phoneticPr fontId="34" type="noConversion"/>
  <dataValidations count="3">
    <dataValidation type="list" allowBlank="1" showInputMessage="1" showErrorMessage="1" sqref="F49:M49" xr:uid="{141695DD-7C9B-4B7A-A9EF-654F594F4D82}">
      <formula1>"N,A,B, "</formula1>
    </dataValidation>
    <dataValidation type="list" allowBlank="1" showInputMessage="1" showErrorMessage="1" sqref="F50:M50" xr:uid="{BE288887-8877-49CD-8AE6-357F377DA09E}">
      <formula1>"P,F, "</formula1>
    </dataValidation>
    <dataValidation type="list" allowBlank="1" showInputMessage="1" showErrorMessage="1" sqref="F10:M48" xr:uid="{9C33246B-7F7E-444E-AC05-87C8E05982F9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4A85-2E19-4462-B904-5EC4851EC732}">
  <dimension ref="A1:V62"/>
  <sheetViews>
    <sheetView workbookViewId="0">
      <pane ySplit="9" topLeftCell="A10" activePane="bottomLeft" state="frozen"/>
      <selection pane="bottomLeft" activeCell="Z18" sqref="Z18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6" width="4.140625" style="78" bestFit="1" customWidth="1"/>
    <col min="7" max="7" width="2.85546875" style="78" bestFit="1" customWidth="1"/>
    <col min="8" max="8" width="2.85546875" style="78" customWidth="1"/>
    <col min="9" max="10" width="2.85546875" style="78" bestFit="1" customWidth="1"/>
    <col min="11" max="19" width="2.85546875" style="78" customWidth="1"/>
    <col min="20" max="20" width="4.140625" style="78" bestFit="1" customWidth="1"/>
    <col min="21" max="21" width="2.85546875" style="78" customWidth="1"/>
    <col min="22" max="16384" width="9" style="78"/>
  </cols>
  <sheetData>
    <row r="1" spans="1:22" ht="13.5" customHeight="1">
      <c r="A1" s="76"/>
      <c r="B1" s="77"/>
    </row>
    <row r="2" spans="1:22" ht="13.5" customHeight="1">
      <c r="A2" s="367" t="s">
        <v>121</v>
      </c>
      <c r="B2" s="368"/>
      <c r="C2" s="369"/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Functions!D21</f>
        <v>createPersonalOrder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2" ht="13.5" customHeight="1">
      <c r="A3" s="355" t="s">
        <v>122</v>
      </c>
      <c r="B3" s="356"/>
      <c r="C3" s="377" t="s">
        <v>321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 t="s">
        <v>321</v>
      </c>
      <c r="M3" s="378"/>
      <c r="N3" s="378"/>
      <c r="O3" s="178"/>
      <c r="P3" s="178"/>
      <c r="Q3" s="178"/>
      <c r="R3" s="178"/>
      <c r="S3" s="178"/>
      <c r="T3" s="179"/>
    </row>
    <row r="4" spans="1:22" ht="13.5" customHeight="1">
      <c r="A4" s="355" t="s">
        <v>125</v>
      </c>
      <c r="B4" s="356"/>
      <c r="C4" s="357"/>
      <c r="D4" s="358"/>
      <c r="E4" s="189"/>
      <c r="F4" s="359" t="s">
        <v>126</v>
      </c>
      <c r="G4" s="360"/>
      <c r="H4" s="360"/>
      <c r="I4" s="360"/>
      <c r="J4" s="360"/>
      <c r="K4" s="361"/>
      <c r="L4" s="362">
        <v>0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2" ht="13.5" customHeight="1">
      <c r="A5" s="355" t="s">
        <v>127</v>
      </c>
      <c r="B5" s="356"/>
      <c r="C5" s="365"/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2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2" ht="13.5" customHeight="1">
      <c r="A7" s="345">
        <f>COUNTIF(F60:HL60,"P")</f>
        <v>8</v>
      </c>
      <c r="B7" s="346"/>
      <c r="C7" s="347">
        <f>COUNTIF(F60:HL60,"F")</f>
        <v>2</v>
      </c>
      <c r="D7" s="348"/>
      <c r="E7" s="346"/>
      <c r="F7" s="347">
        <f>SUM(O7,- A7,- C7)</f>
        <v>0</v>
      </c>
      <c r="G7" s="348"/>
      <c r="H7" s="348"/>
      <c r="I7" s="348"/>
      <c r="J7" s="348"/>
      <c r="K7" s="349"/>
      <c r="L7" s="180">
        <f>COUNTIF(E59:HL59,"N")</f>
        <v>1</v>
      </c>
      <c r="M7" s="180">
        <f>COUNTIF(E59:HL59,"A")</f>
        <v>9</v>
      </c>
      <c r="N7" s="180">
        <f>COUNTIF(E59:HL59,"B")</f>
        <v>0</v>
      </c>
      <c r="O7" s="350">
        <f>COUNTA(E9:HO9)</f>
        <v>10</v>
      </c>
      <c r="P7" s="348"/>
      <c r="Q7" s="348"/>
      <c r="R7" s="348"/>
      <c r="S7" s="348"/>
      <c r="T7" s="351"/>
      <c r="U7" s="81"/>
    </row>
    <row r="8" spans="1:22" ht="10.5"/>
    <row r="9" spans="1:22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83"/>
      <c r="Q9" s="84"/>
      <c r="R9" s="85"/>
    </row>
    <row r="10" spans="1:22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</row>
    <row r="11" spans="1:22" ht="13.5" customHeight="1">
      <c r="A11" s="203"/>
      <c r="B11" s="86"/>
      <c r="C11" s="87"/>
      <c r="D11" s="88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Q11" s="80"/>
    </row>
    <row r="12" spans="1:22" ht="13.5" customHeight="1">
      <c r="A12" s="203"/>
      <c r="B12" s="86" t="s">
        <v>346</v>
      </c>
      <c r="C12" s="87"/>
      <c r="D12" s="88"/>
      <c r="E12" s="93"/>
      <c r="F12" s="172"/>
      <c r="G12" s="172"/>
      <c r="H12" s="172"/>
      <c r="I12" s="172"/>
      <c r="J12" s="172"/>
      <c r="K12" s="172"/>
      <c r="L12" s="172"/>
      <c r="M12" s="172"/>
      <c r="N12" s="172"/>
      <c r="O12" s="172"/>
    </row>
    <row r="13" spans="1:22" ht="13.5" customHeight="1">
      <c r="A13" s="203"/>
      <c r="B13" s="86"/>
      <c r="C13" s="87"/>
      <c r="D13" s="88" t="s">
        <v>331</v>
      </c>
      <c r="E13" s="93"/>
      <c r="F13" s="172"/>
      <c r="G13" s="172" t="s">
        <v>144</v>
      </c>
      <c r="H13" s="172" t="s">
        <v>144</v>
      </c>
      <c r="I13" s="172" t="s">
        <v>144</v>
      </c>
      <c r="J13" s="172" t="s">
        <v>144</v>
      </c>
      <c r="K13" s="172" t="s">
        <v>144</v>
      </c>
      <c r="L13" s="172" t="s">
        <v>144</v>
      </c>
      <c r="M13" s="172" t="s">
        <v>144</v>
      </c>
      <c r="N13" s="172" t="s">
        <v>144</v>
      </c>
      <c r="O13" s="172" t="s">
        <v>144</v>
      </c>
    </row>
    <row r="14" spans="1:22" ht="13.5" customHeight="1">
      <c r="A14" s="203"/>
      <c r="B14" s="86"/>
      <c r="C14" s="87"/>
      <c r="D14" s="88" t="s">
        <v>327</v>
      </c>
      <c r="E14" s="93"/>
      <c r="F14" s="172" t="s">
        <v>144</v>
      </c>
      <c r="G14" s="172"/>
      <c r="H14" s="172"/>
      <c r="I14" s="172"/>
      <c r="J14" s="172"/>
      <c r="K14" s="172"/>
      <c r="L14" s="172"/>
      <c r="M14" s="172"/>
      <c r="N14" s="172"/>
      <c r="O14" s="172"/>
    </row>
    <row r="15" spans="1:22" ht="13.5" customHeight="1">
      <c r="A15" s="203"/>
      <c r="B15" s="86" t="s">
        <v>347</v>
      </c>
      <c r="C15" s="87"/>
      <c r="D15" s="88"/>
      <c r="E15" s="93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3"/>
    </row>
    <row r="16" spans="1:22" ht="13.5" customHeight="1">
      <c r="A16" s="203"/>
      <c r="B16" s="86"/>
      <c r="C16" s="87"/>
      <c r="D16" s="336" t="s">
        <v>331</v>
      </c>
      <c r="E16" s="336"/>
      <c r="F16" s="172" t="s">
        <v>144</v>
      </c>
      <c r="G16" s="172"/>
      <c r="H16" s="172" t="s">
        <v>144</v>
      </c>
      <c r="I16" s="172" t="s">
        <v>144</v>
      </c>
      <c r="J16" s="172" t="s">
        <v>144</v>
      </c>
      <c r="K16" s="172" t="s">
        <v>144</v>
      </c>
      <c r="L16" s="172" t="s">
        <v>144</v>
      </c>
      <c r="M16" s="172" t="s">
        <v>144</v>
      </c>
      <c r="N16" s="172" t="s">
        <v>144</v>
      </c>
      <c r="O16" s="172" t="s">
        <v>144</v>
      </c>
    </row>
    <row r="17" spans="1:15" ht="13.5" customHeight="1">
      <c r="A17" s="203"/>
      <c r="B17" s="86"/>
      <c r="C17" s="87"/>
      <c r="D17" s="88" t="s">
        <v>327</v>
      </c>
      <c r="E17" s="93"/>
      <c r="F17" s="172"/>
      <c r="G17" s="172" t="s">
        <v>144</v>
      </c>
      <c r="H17" s="172"/>
      <c r="I17" s="172"/>
      <c r="J17" s="172"/>
      <c r="K17" s="172"/>
      <c r="L17" s="172"/>
      <c r="M17" s="172"/>
      <c r="N17" s="172"/>
      <c r="O17" s="172"/>
    </row>
    <row r="18" spans="1:15" ht="13.5" customHeight="1">
      <c r="A18" s="203"/>
      <c r="B18" s="86" t="s">
        <v>348</v>
      </c>
      <c r="C18" s="87"/>
      <c r="D18" s="88"/>
      <c r="E18" s="93"/>
      <c r="F18" s="172"/>
      <c r="G18" s="172"/>
      <c r="H18" s="172"/>
      <c r="I18" s="172"/>
      <c r="J18" s="172"/>
      <c r="K18" s="172"/>
      <c r="L18" s="172"/>
      <c r="M18" s="172"/>
      <c r="N18" s="172"/>
      <c r="O18" s="172"/>
    </row>
    <row r="19" spans="1:15" ht="13.5" customHeight="1">
      <c r="A19" s="203"/>
      <c r="B19" s="86"/>
      <c r="C19" s="87"/>
      <c r="D19" s="88" t="s">
        <v>349</v>
      </c>
      <c r="E19" s="93"/>
      <c r="F19" s="172" t="s">
        <v>144</v>
      </c>
      <c r="G19" s="172" t="s">
        <v>144</v>
      </c>
      <c r="H19" s="172"/>
      <c r="I19" s="172" t="s">
        <v>144</v>
      </c>
      <c r="J19" s="172" t="s">
        <v>144</v>
      </c>
      <c r="K19" s="172" t="s">
        <v>144</v>
      </c>
      <c r="L19" s="172" t="s">
        <v>144</v>
      </c>
      <c r="M19" s="172" t="s">
        <v>144</v>
      </c>
      <c r="N19" s="172" t="s">
        <v>144</v>
      </c>
      <c r="O19" s="172" t="s">
        <v>144</v>
      </c>
    </row>
    <row r="20" spans="1:15" ht="13.5" customHeight="1">
      <c r="A20" s="203"/>
      <c r="B20" s="86"/>
      <c r="C20" s="87"/>
      <c r="D20" s="88" t="s">
        <v>350</v>
      </c>
      <c r="E20" s="93"/>
      <c r="F20" s="172"/>
      <c r="G20" s="172"/>
      <c r="H20" s="172" t="s">
        <v>144</v>
      </c>
      <c r="I20" s="172"/>
      <c r="J20" s="172"/>
      <c r="K20" s="172"/>
      <c r="L20" s="172"/>
      <c r="M20" s="172"/>
      <c r="N20" s="172"/>
      <c r="O20" s="172"/>
    </row>
    <row r="21" spans="1:15" ht="13.5" customHeight="1">
      <c r="A21" s="203"/>
      <c r="B21" s="86" t="s">
        <v>351</v>
      </c>
      <c r="C21" s="87"/>
      <c r="D21" s="88"/>
      <c r="E21" s="93"/>
      <c r="F21" s="172"/>
      <c r="G21" s="172"/>
      <c r="H21" s="172"/>
      <c r="I21" s="172"/>
      <c r="J21" s="172"/>
      <c r="K21" s="172"/>
      <c r="L21" s="172"/>
      <c r="M21" s="172"/>
      <c r="N21" s="172"/>
      <c r="O21" s="172"/>
    </row>
    <row r="22" spans="1:15" ht="13.5" customHeight="1">
      <c r="A22" s="203"/>
      <c r="B22" s="86"/>
      <c r="C22" s="87"/>
      <c r="D22" s="88" t="s">
        <v>331</v>
      </c>
      <c r="E22" s="93"/>
      <c r="F22" s="172" t="s">
        <v>144</v>
      </c>
      <c r="G22" s="172" t="s">
        <v>144</v>
      </c>
      <c r="H22" s="172" t="s">
        <v>144</v>
      </c>
      <c r="I22" s="172" t="s">
        <v>144</v>
      </c>
      <c r="J22" s="172" t="s">
        <v>144</v>
      </c>
      <c r="K22" s="172" t="s">
        <v>144</v>
      </c>
      <c r="L22" s="172" t="s">
        <v>144</v>
      </c>
      <c r="M22" s="172" t="s">
        <v>144</v>
      </c>
      <c r="N22" s="172" t="s">
        <v>144</v>
      </c>
      <c r="O22" s="172" t="s">
        <v>144</v>
      </c>
    </row>
    <row r="23" spans="1:15" ht="13.5" customHeight="1">
      <c r="A23" s="203"/>
      <c r="B23" s="86" t="s">
        <v>352</v>
      </c>
      <c r="C23" s="87"/>
      <c r="D23" s="88"/>
      <c r="E23" s="93"/>
      <c r="F23" s="172"/>
      <c r="G23" s="172"/>
      <c r="H23" s="172"/>
      <c r="I23" s="172"/>
      <c r="J23" s="172"/>
      <c r="K23" s="172"/>
      <c r="L23" s="172"/>
      <c r="M23" s="172"/>
      <c r="N23" s="172"/>
      <c r="O23" s="172"/>
    </row>
    <row r="24" spans="1:15" ht="13.5" customHeight="1">
      <c r="A24" s="203"/>
      <c r="B24" s="86"/>
      <c r="C24" s="87"/>
      <c r="D24" s="88" t="s">
        <v>331</v>
      </c>
      <c r="E24" s="93"/>
      <c r="F24" s="172" t="s">
        <v>144</v>
      </c>
      <c r="G24" s="172" t="s">
        <v>144</v>
      </c>
      <c r="H24" s="172" t="s">
        <v>144</v>
      </c>
      <c r="I24" s="172" t="s">
        <v>144</v>
      </c>
      <c r="J24" s="172" t="s">
        <v>144</v>
      </c>
      <c r="K24" s="172" t="s">
        <v>144</v>
      </c>
      <c r="L24" s="172" t="s">
        <v>144</v>
      </c>
      <c r="M24" s="172" t="s">
        <v>144</v>
      </c>
      <c r="N24" s="172" t="s">
        <v>144</v>
      </c>
      <c r="O24" s="172" t="s">
        <v>144</v>
      </c>
    </row>
    <row r="25" spans="1:15" ht="13.5" customHeight="1">
      <c r="A25" s="203"/>
      <c r="B25" s="86" t="s">
        <v>353</v>
      </c>
      <c r="C25" s="87"/>
      <c r="D25" s="88"/>
      <c r="E25" s="93"/>
      <c r="F25" s="172"/>
      <c r="G25" s="172"/>
      <c r="H25" s="172"/>
      <c r="I25" s="172"/>
      <c r="J25" s="172"/>
      <c r="K25" s="172"/>
      <c r="L25" s="172"/>
      <c r="M25" s="172"/>
      <c r="N25" s="172"/>
      <c r="O25" s="172"/>
    </row>
    <row r="26" spans="1:15" ht="13.5" customHeight="1">
      <c r="A26" s="203"/>
      <c r="B26" s="86"/>
      <c r="C26" s="87"/>
      <c r="D26" s="88" t="s">
        <v>354</v>
      </c>
      <c r="E26" s="93"/>
      <c r="F26" s="172"/>
      <c r="G26" s="172"/>
      <c r="H26" s="172"/>
      <c r="I26" s="172" t="s">
        <v>144</v>
      </c>
      <c r="J26" s="172"/>
      <c r="K26" s="172"/>
      <c r="L26" s="172"/>
      <c r="M26" s="172"/>
      <c r="N26" s="172"/>
      <c r="O26" s="172"/>
    </row>
    <row r="27" spans="1:15" ht="13.5" customHeight="1">
      <c r="A27" s="203"/>
      <c r="B27" s="86"/>
      <c r="C27" s="87"/>
      <c r="D27" s="88" t="s">
        <v>355</v>
      </c>
      <c r="E27" s="93"/>
      <c r="F27" s="172" t="s">
        <v>144</v>
      </c>
      <c r="G27" s="172" t="s">
        <v>144</v>
      </c>
      <c r="H27" s="172" t="s">
        <v>144</v>
      </c>
      <c r="I27" s="172"/>
      <c r="J27" s="172" t="s">
        <v>144</v>
      </c>
      <c r="K27" s="172" t="s">
        <v>144</v>
      </c>
      <c r="L27" s="172" t="s">
        <v>144</v>
      </c>
      <c r="M27" s="172" t="s">
        <v>144</v>
      </c>
      <c r="N27" s="172" t="s">
        <v>144</v>
      </c>
      <c r="O27" s="172" t="s">
        <v>144</v>
      </c>
    </row>
    <row r="28" spans="1:15" ht="13.5" customHeight="1">
      <c r="A28" s="203"/>
      <c r="B28" s="86" t="s">
        <v>255</v>
      </c>
      <c r="C28" s="87"/>
      <c r="D28" s="88"/>
      <c r="E28" s="93"/>
      <c r="F28" s="172"/>
      <c r="G28" s="172"/>
      <c r="H28" s="172"/>
      <c r="I28" s="172"/>
      <c r="J28" s="172"/>
      <c r="K28" s="172"/>
      <c r="L28" s="172"/>
      <c r="M28" s="172"/>
      <c r="N28" s="172"/>
      <c r="O28" s="172"/>
    </row>
    <row r="29" spans="1:15" ht="13.5" customHeight="1">
      <c r="A29" s="203"/>
      <c r="B29" s="86"/>
      <c r="C29" s="87"/>
      <c r="D29" s="88" t="s">
        <v>331</v>
      </c>
      <c r="E29" s="93"/>
      <c r="F29" s="172" t="s">
        <v>144</v>
      </c>
      <c r="G29" s="172" t="s">
        <v>144</v>
      </c>
      <c r="H29" s="172" t="s">
        <v>144</v>
      </c>
      <c r="I29" s="172"/>
      <c r="J29" s="172" t="s">
        <v>144</v>
      </c>
      <c r="K29" s="172" t="s">
        <v>144</v>
      </c>
      <c r="L29" s="172" t="s">
        <v>144</v>
      </c>
      <c r="M29" s="172" t="s">
        <v>144</v>
      </c>
      <c r="N29" s="172" t="s">
        <v>144</v>
      </c>
      <c r="O29" s="172" t="s">
        <v>144</v>
      </c>
    </row>
    <row r="30" spans="1:15" ht="13.5" customHeight="1">
      <c r="A30" s="203"/>
      <c r="B30" s="86"/>
      <c r="C30" s="87"/>
      <c r="D30" s="88" t="s">
        <v>327</v>
      </c>
      <c r="E30" s="93"/>
      <c r="F30" s="172"/>
      <c r="G30" s="172"/>
      <c r="H30" s="172"/>
      <c r="I30" s="172" t="s">
        <v>144</v>
      </c>
      <c r="J30" s="172"/>
      <c r="K30" s="172"/>
      <c r="L30" s="172"/>
      <c r="M30" s="172"/>
      <c r="N30" s="172"/>
      <c r="O30" s="172"/>
    </row>
    <row r="31" spans="1:15" ht="13.5" customHeight="1">
      <c r="A31" s="203"/>
      <c r="B31" s="86" t="s">
        <v>177</v>
      </c>
      <c r="C31" s="87"/>
      <c r="D31" s="88"/>
      <c r="E31" s="93"/>
      <c r="F31" s="172"/>
      <c r="G31" s="172"/>
      <c r="H31" s="172"/>
      <c r="I31" s="172"/>
      <c r="J31" s="172"/>
      <c r="K31" s="172"/>
      <c r="L31" s="172"/>
      <c r="M31" s="172"/>
      <c r="N31" s="172"/>
      <c r="O31" s="172"/>
    </row>
    <row r="32" spans="1:15" ht="13.5" customHeight="1">
      <c r="A32" s="203"/>
      <c r="B32" s="86"/>
      <c r="C32" s="87"/>
      <c r="D32" s="88" t="s">
        <v>356</v>
      </c>
      <c r="E32" s="93"/>
      <c r="F32" s="172" t="s">
        <v>144</v>
      </c>
      <c r="G32" s="172" t="s">
        <v>144</v>
      </c>
      <c r="H32" s="172" t="s">
        <v>144</v>
      </c>
      <c r="I32" s="172" t="s">
        <v>144</v>
      </c>
      <c r="J32" s="172"/>
      <c r="K32" s="172" t="s">
        <v>144</v>
      </c>
      <c r="L32" s="172" t="s">
        <v>144</v>
      </c>
      <c r="M32" s="172" t="s">
        <v>144</v>
      </c>
      <c r="N32" s="172" t="s">
        <v>144</v>
      </c>
      <c r="O32" s="172" t="s">
        <v>144</v>
      </c>
    </row>
    <row r="33" spans="1:15" ht="13.5" customHeight="1">
      <c r="A33" s="203"/>
      <c r="B33" s="86"/>
      <c r="C33" s="87"/>
      <c r="D33" s="88" t="s">
        <v>354</v>
      </c>
      <c r="E33" s="93"/>
      <c r="F33" s="172"/>
      <c r="G33" s="172"/>
      <c r="H33" s="172"/>
      <c r="I33" s="172"/>
      <c r="J33" s="172" t="s">
        <v>144</v>
      </c>
      <c r="K33" s="172"/>
      <c r="L33" s="172"/>
      <c r="M33" s="172"/>
      <c r="N33" s="172"/>
      <c r="O33" s="172"/>
    </row>
    <row r="34" spans="1:15" ht="13.5" customHeight="1">
      <c r="A34" s="203"/>
      <c r="B34" s="86" t="s">
        <v>357</v>
      </c>
      <c r="C34" s="87"/>
      <c r="D34" s="88"/>
      <c r="E34" s="93"/>
      <c r="F34" s="172"/>
      <c r="G34" s="172"/>
      <c r="H34" s="172"/>
      <c r="I34" s="172"/>
      <c r="J34" s="172"/>
      <c r="K34" s="172"/>
      <c r="L34" s="172"/>
      <c r="M34" s="172"/>
      <c r="N34" s="172"/>
      <c r="O34" s="172"/>
    </row>
    <row r="35" spans="1:15" ht="203.25">
      <c r="A35" s="203"/>
      <c r="B35" s="86"/>
      <c r="C35" s="87"/>
      <c r="D35" s="282" t="s">
        <v>358</v>
      </c>
      <c r="E35" s="93"/>
      <c r="F35" s="172"/>
      <c r="G35" s="172"/>
      <c r="H35" s="172"/>
      <c r="I35" s="172"/>
      <c r="J35" s="172"/>
      <c r="K35" s="172" t="s">
        <v>144</v>
      </c>
      <c r="L35" s="172"/>
      <c r="M35" s="172"/>
      <c r="N35" s="172"/>
      <c r="O35" s="172"/>
    </row>
    <row r="36" spans="1:15" ht="203.25">
      <c r="A36" s="203"/>
      <c r="B36" s="86"/>
      <c r="C36" s="87"/>
      <c r="D36" s="282" t="s">
        <v>359</v>
      </c>
      <c r="E36" s="93"/>
      <c r="F36" s="172" t="s">
        <v>144</v>
      </c>
      <c r="G36" s="172" t="s">
        <v>144</v>
      </c>
      <c r="H36" s="172" t="s">
        <v>144</v>
      </c>
      <c r="I36" s="172" t="s">
        <v>144</v>
      </c>
      <c r="J36" s="172" t="s">
        <v>144</v>
      </c>
      <c r="K36" s="172"/>
      <c r="L36" s="172" t="s">
        <v>144</v>
      </c>
      <c r="M36" s="172" t="s">
        <v>144</v>
      </c>
      <c r="N36" s="172" t="s">
        <v>144</v>
      </c>
      <c r="O36" s="172" t="s">
        <v>144</v>
      </c>
    </row>
    <row r="37" spans="1:15" ht="13.5" customHeight="1">
      <c r="A37" s="203"/>
      <c r="B37" s="86" t="s">
        <v>324</v>
      </c>
      <c r="C37" s="87"/>
      <c r="D37" s="88"/>
      <c r="E37" s="93"/>
      <c r="F37" s="172"/>
      <c r="G37" s="172"/>
      <c r="H37" s="172"/>
      <c r="I37" s="172"/>
      <c r="J37" s="172"/>
      <c r="K37" s="172"/>
      <c r="L37" s="172"/>
      <c r="M37" s="172"/>
      <c r="N37" s="172"/>
      <c r="O37" s="172"/>
    </row>
    <row r="38" spans="1:15" ht="13.5" customHeight="1">
      <c r="A38" s="203"/>
      <c r="B38" s="86"/>
      <c r="C38" s="87"/>
      <c r="D38" s="88" t="b">
        <v>1</v>
      </c>
      <c r="E38" s="93"/>
      <c r="F38" s="172" t="s">
        <v>144</v>
      </c>
      <c r="G38" s="172" t="s">
        <v>144</v>
      </c>
      <c r="H38" s="172" t="s">
        <v>144</v>
      </c>
      <c r="I38" s="172" t="s">
        <v>144</v>
      </c>
      <c r="J38" s="172" t="s">
        <v>144</v>
      </c>
      <c r="K38" s="172" t="s">
        <v>144</v>
      </c>
      <c r="L38" s="172"/>
      <c r="M38" s="172" t="s">
        <v>144</v>
      </c>
      <c r="N38" s="172"/>
      <c r="O38" s="172" t="s">
        <v>144</v>
      </c>
    </row>
    <row r="39" spans="1:15" ht="13.5" customHeight="1">
      <c r="A39" s="203"/>
      <c r="B39" s="86"/>
      <c r="C39" s="87"/>
      <c r="D39" s="88" t="b">
        <v>0</v>
      </c>
      <c r="E39" s="93"/>
      <c r="F39" s="172"/>
      <c r="G39" s="172"/>
      <c r="H39" s="172"/>
      <c r="I39" s="172"/>
      <c r="J39" s="172"/>
      <c r="K39" s="172"/>
      <c r="L39" s="172"/>
      <c r="M39" s="172"/>
      <c r="N39" s="172" t="s">
        <v>144</v>
      </c>
      <c r="O39" s="172"/>
    </row>
    <row r="40" spans="1:15" ht="13.5" customHeight="1">
      <c r="A40" s="203"/>
      <c r="B40" s="86"/>
      <c r="C40" s="87"/>
      <c r="D40" s="88" t="s">
        <v>354</v>
      </c>
      <c r="E40" s="93"/>
      <c r="F40" s="172"/>
      <c r="G40" s="172"/>
      <c r="H40" s="172"/>
      <c r="I40" s="172"/>
      <c r="J40" s="172"/>
      <c r="K40" s="172"/>
      <c r="L40" s="172" t="s">
        <v>144</v>
      </c>
      <c r="M40" s="172"/>
      <c r="N40" s="172"/>
      <c r="O40" s="172"/>
    </row>
    <row r="41" spans="1:15" ht="13.5" customHeight="1">
      <c r="A41" s="203"/>
      <c r="B41" s="86" t="s">
        <v>360</v>
      </c>
      <c r="C41" s="87"/>
      <c r="D41" s="88"/>
      <c r="E41" s="93"/>
      <c r="F41" s="172"/>
      <c r="G41" s="172"/>
      <c r="H41" s="172"/>
      <c r="I41" s="172"/>
      <c r="J41" s="172"/>
      <c r="K41" s="172"/>
      <c r="L41" s="172"/>
      <c r="M41" s="172"/>
      <c r="N41" s="172"/>
      <c r="O41" s="172"/>
    </row>
    <row r="42" spans="1:15" ht="13.5" customHeight="1">
      <c r="A42" s="203"/>
      <c r="B42" s="86"/>
      <c r="C42" s="87"/>
      <c r="D42" s="88" t="s">
        <v>354</v>
      </c>
      <c r="E42" s="93"/>
      <c r="F42" s="172"/>
      <c r="G42" s="172"/>
      <c r="H42" s="172"/>
      <c r="I42" s="172"/>
      <c r="J42" s="172"/>
      <c r="K42" s="172"/>
      <c r="L42" s="172"/>
      <c r="M42" s="172"/>
      <c r="N42" s="172" t="s">
        <v>144</v>
      </c>
      <c r="O42" s="172"/>
    </row>
    <row r="43" spans="1:15" ht="13.5" customHeight="1">
      <c r="A43" s="203"/>
      <c r="B43" s="86"/>
      <c r="C43" s="87"/>
      <c r="D43" s="88">
        <v>-1</v>
      </c>
      <c r="E43" s="93"/>
      <c r="F43" s="172"/>
      <c r="G43" s="172"/>
      <c r="H43" s="172"/>
      <c r="I43" s="172"/>
      <c r="J43" s="172"/>
      <c r="K43" s="172"/>
      <c r="L43" s="172"/>
      <c r="M43" s="172" t="s">
        <v>144</v>
      </c>
      <c r="N43" s="172"/>
      <c r="O43" s="172"/>
    </row>
    <row r="44" spans="1:15" ht="13.5" customHeight="1">
      <c r="A44" s="203"/>
      <c r="B44" s="86"/>
      <c r="C44" s="87"/>
      <c r="D44" s="88">
        <v>1000000</v>
      </c>
      <c r="E44" s="93"/>
      <c r="F44" s="172" t="s">
        <v>144</v>
      </c>
      <c r="G44" s="172" t="s">
        <v>144</v>
      </c>
      <c r="H44" s="172" t="s">
        <v>144</v>
      </c>
      <c r="I44" s="172" t="s">
        <v>144</v>
      </c>
      <c r="J44" s="172" t="s">
        <v>144</v>
      </c>
      <c r="K44" s="172" t="s">
        <v>144</v>
      </c>
      <c r="L44" s="172" t="s">
        <v>144</v>
      </c>
      <c r="M44" s="172"/>
      <c r="N44" s="172"/>
      <c r="O44" s="172" t="s">
        <v>144</v>
      </c>
    </row>
    <row r="45" spans="1:15" ht="13.5" customHeight="1">
      <c r="A45" s="216" t="s">
        <v>147</v>
      </c>
      <c r="B45" s="100" t="s">
        <v>198</v>
      </c>
      <c r="C45" s="101"/>
      <c r="D45" s="102"/>
      <c r="E45" s="103"/>
      <c r="F45" s="175"/>
      <c r="G45" s="175"/>
      <c r="H45" s="175"/>
      <c r="I45" s="175"/>
      <c r="J45" s="175"/>
      <c r="K45" s="175"/>
      <c r="L45" s="175"/>
      <c r="M45" s="175"/>
      <c r="N45" s="175"/>
      <c r="O45" s="175"/>
    </row>
    <row r="46" spans="1:15" ht="13.5" customHeight="1">
      <c r="A46" s="215"/>
      <c r="B46" s="105"/>
      <c r="C46" s="106"/>
      <c r="D46" s="107" t="s">
        <v>276</v>
      </c>
      <c r="E46" s="108"/>
      <c r="F46" s="172" t="s">
        <v>144</v>
      </c>
      <c r="G46" s="172" t="s">
        <v>144</v>
      </c>
      <c r="H46" s="172" t="s">
        <v>144</v>
      </c>
      <c r="I46" s="172" t="s">
        <v>144</v>
      </c>
      <c r="J46" s="172" t="s">
        <v>144</v>
      </c>
      <c r="K46" s="172" t="s">
        <v>144</v>
      </c>
      <c r="L46" s="172" t="s">
        <v>144</v>
      </c>
      <c r="M46" s="172" t="s">
        <v>144</v>
      </c>
      <c r="N46" s="172" t="s">
        <v>144</v>
      </c>
      <c r="O46" s="172" t="s">
        <v>144</v>
      </c>
    </row>
    <row r="47" spans="1:15" ht="13.5" customHeight="1">
      <c r="A47" s="215"/>
      <c r="B47" s="105" t="s">
        <v>201</v>
      </c>
      <c r="C47" s="176"/>
      <c r="D47" s="107"/>
      <c r="E47" s="110"/>
      <c r="F47" s="172"/>
      <c r="G47" s="172"/>
      <c r="H47" s="172"/>
      <c r="I47" s="172"/>
      <c r="J47" s="172"/>
      <c r="K47" s="172"/>
      <c r="L47" s="172"/>
      <c r="M47" s="172"/>
      <c r="N47" s="172"/>
      <c r="O47" s="172"/>
    </row>
    <row r="48" spans="1:15" ht="13.5" customHeight="1">
      <c r="A48" s="215"/>
      <c r="B48" s="105"/>
      <c r="C48" s="176"/>
      <c r="D48" s="107"/>
      <c r="E48" s="110"/>
      <c r="F48" s="172"/>
      <c r="G48" s="172"/>
      <c r="H48" s="172"/>
      <c r="I48" s="172"/>
      <c r="J48" s="172"/>
      <c r="K48" s="172"/>
      <c r="L48" s="172"/>
      <c r="M48" s="172"/>
      <c r="N48" s="172"/>
      <c r="O48" s="172"/>
    </row>
    <row r="49" spans="1:15" ht="13.5" customHeight="1">
      <c r="A49" s="215"/>
      <c r="B49" s="105" t="s">
        <v>202</v>
      </c>
      <c r="C49" s="176"/>
      <c r="D49" s="107"/>
      <c r="E49" s="110"/>
      <c r="F49" s="172"/>
      <c r="G49" s="172"/>
      <c r="H49" s="172"/>
      <c r="I49" s="172"/>
      <c r="J49" s="172"/>
      <c r="K49" s="172"/>
      <c r="L49" s="172"/>
      <c r="M49" s="172"/>
      <c r="N49" s="172"/>
      <c r="O49" s="172"/>
    </row>
    <row r="50" spans="1:15" ht="13.5" customHeight="1">
      <c r="A50" s="215"/>
      <c r="B50" s="105"/>
      <c r="C50" s="176"/>
      <c r="D50" s="107" t="s">
        <v>361</v>
      </c>
      <c r="E50" s="110"/>
      <c r="F50" s="172" t="s">
        <v>144</v>
      </c>
      <c r="G50" s="172"/>
      <c r="H50" s="172"/>
      <c r="I50" s="172"/>
      <c r="J50" s="172"/>
      <c r="K50" s="172"/>
      <c r="L50" s="172"/>
      <c r="M50" s="172"/>
      <c r="N50" s="172"/>
      <c r="O50" s="172"/>
    </row>
    <row r="51" spans="1:15" ht="13.5" customHeight="1">
      <c r="A51" s="215"/>
      <c r="B51" s="105"/>
      <c r="C51" s="176"/>
      <c r="D51" s="107" t="s">
        <v>362</v>
      </c>
      <c r="E51" s="110"/>
      <c r="F51" s="172"/>
      <c r="G51" s="172" t="s">
        <v>144</v>
      </c>
      <c r="H51" s="172"/>
      <c r="I51" s="172"/>
      <c r="J51" s="172"/>
      <c r="K51" s="172"/>
      <c r="L51" s="172"/>
      <c r="M51" s="172"/>
      <c r="N51" s="172"/>
      <c r="O51" s="172"/>
    </row>
    <row r="52" spans="1:15" ht="13.5" customHeight="1">
      <c r="A52" s="215"/>
      <c r="B52" s="105"/>
      <c r="C52" s="176"/>
      <c r="D52" s="107" t="s">
        <v>363</v>
      </c>
      <c r="E52" s="110"/>
      <c r="F52" s="172"/>
      <c r="G52" s="172"/>
      <c r="H52" s="172" t="s">
        <v>144</v>
      </c>
      <c r="I52" s="172"/>
      <c r="J52" s="172"/>
      <c r="K52" s="172"/>
      <c r="L52" s="172"/>
      <c r="M52" s="172"/>
      <c r="N52" s="172"/>
      <c r="O52" s="172"/>
    </row>
    <row r="53" spans="1:15" ht="13.5" customHeight="1">
      <c r="A53" s="215"/>
      <c r="B53" s="105"/>
      <c r="C53" s="176"/>
      <c r="D53" s="107" t="s">
        <v>364</v>
      </c>
      <c r="E53" s="110"/>
      <c r="F53" s="172"/>
      <c r="G53" s="172"/>
      <c r="H53" s="172"/>
      <c r="I53" s="172" t="s">
        <v>144</v>
      </c>
      <c r="J53" s="172"/>
      <c r="K53" s="172"/>
      <c r="L53" s="172"/>
      <c r="M53" s="172"/>
      <c r="N53" s="172"/>
      <c r="O53" s="172"/>
    </row>
    <row r="54" spans="1:15" ht="13.5" customHeight="1">
      <c r="A54" s="215"/>
      <c r="B54" s="105"/>
      <c r="C54" s="176"/>
      <c r="D54" s="107" t="s">
        <v>365</v>
      </c>
      <c r="E54" s="110"/>
      <c r="F54" s="172"/>
      <c r="G54" s="172"/>
      <c r="H54" s="172"/>
      <c r="I54" s="172"/>
      <c r="J54" s="172" t="s">
        <v>144</v>
      </c>
      <c r="K54" s="172"/>
      <c r="L54" s="172"/>
      <c r="M54" s="172"/>
      <c r="N54" s="172"/>
      <c r="O54" s="172"/>
    </row>
    <row r="55" spans="1:15" ht="13.5" customHeight="1">
      <c r="A55" s="215"/>
      <c r="B55" s="105"/>
      <c r="C55" s="176"/>
      <c r="D55" s="107" t="s">
        <v>366</v>
      </c>
      <c r="E55" s="110"/>
      <c r="F55" s="172"/>
      <c r="G55" s="172"/>
      <c r="H55" s="172"/>
      <c r="I55" s="172"/>
      <c r="J55" s="172"/>
      <c r="K55" s="172" t="s">
        <v>144</v>
      </c>
      <c r="L55" s="172"/>
      <c r="M55" s="172"/>
      <c r="N55" s="172"/>
      <c r="O55" s="172"/>
    </row>
    <row r="56" spans="1:15" ht="13.5" customHeight="1">
      <c r="A56" s="215"/>
      <c r="B56" s="105"/>
      <c r="C56" s="176"/>
      <c r="D56" s="107" t="s">
        <v>367</v>
      </c>
      <c r="E56" s="110"/>
      <c r="F56" s="172"/>
      <c r="G56" s="172"/>
      <c r="H56" s="172"/>
      <c r="I56" s="172"/>
      <c r="J56" s="172"/>
      <c r="K56" s="172"/>
      <c r="L56" s="172" t="s">
        <v>144</v>
      </c>
      <c r="M56" s="172"/>
      <c r="N56" s="172"/>
      <c r="O56" s="172"/>
    </row>
    <row r="57" spans="1:15" ht="13.5" customHeight="1">
      <c r="A57" s="215"/>
      <c r="B57" s="105"/>
      <c r="C57" s="176"/>
      <c r="D57" s="107" t="s">
        <v>368</v>
      </c>
      <c r="E57" s="110"/>
      <c r="F57" s="172"/>
      <c r="G57" s="172"/>
      <c r="H57" s="172"/>
      <c r="I57" s="172"/>
      <c r="J57" s="172"/>
      <c r="K57" s="172"/>
      <c r="L57" s="172"/>
      <c r="M57" s="172" t="s">
        <v>144</v>
      </c>
      <c r="N57" s="172" t="s">
        <v>144</v>
      </c>
      <c r="O57" s="172"/>
    </row>
    <row r="58" spans="1:15" ht="13.5" customHeight="1">
      <c r="A58" s="215"/>
      <c r="B58" s="105"/>
      <c r="C58" s="176"/>
      <c r="D58" s="107" t="s">
        <v>369</v>
      </c>
      <c r="E58" s="110"/>
      <c r="F58" s="172"/>
      <c r="G58" s="172"/>
      <c r="H58" s="172"/>
      <c r="I58" s="172"/>
      <c r="J58" s="172"/>
      <c r="K58" s="172"/>
      <c r="L58" s="172"/>
      <c r="M58" s="172"/>
      <c r="N58" s="172"/>
      <c r="O58" s="172" t="s">
        <v>144</v>
      </c>
    </row>
    <row r="59" spans="1:15" ht="13.5" customHeight="1">
      <c r="A59" s="216" t="s">
        <v>158</v>
      </c>
      <c r="B59" s="337" t="s">
        <v>159</v>
      </c>
      <c r="C59" s="337"/>
      <c r="D59" s="337"/>
      <c r="E59" s="306"/>
      <c r="F59" s="195" t="s">
        <v>62</v>
      </c>
      <c r="G59" s="195" t="s">
        <v>62</v>
      </c>
      <c r="H59" s="195" t="s">
        <v>62</v>
      </c>
      <c r="I59" s="195" t="s">
        <v>62</v>
      </c>
      <c r="J59" s="195" t="s">
        <v>62</v>
      </c>
      <c r="K59" s="195" t="s">
        <v>62</v>
      </c>
      <c r="L59" s="195" t="s">
        <v>62</v>
      </c>
      <c r="M59" s="195" t="s">
        <v>62</v>
      </c>
      <c r="N59" s="195" t="s">
        <v>62</v>
      </c>
      <c r="O59" s="195" t="s">
        <v>111</v>
      </c>
    </row>
    <row r="60" spans="1:15" ht="13.5" customHeight="1">
      <c r="A60" s="215"/>
      <c r="B60" s="338" t="s">
        <v>160</v>
      </c>
      <c r="C60" s="338"/>
      <c r="D60" s="338"/>
      <c r="E60" s="112"/>
      <c r="F60" s="177" t="s">
        <v>216</v>
      </c>
      <c r="G60" s="177" t="s">
        <v>216</v>
      </c>
      <c r="H60" s="177" t="s">
        <v>216</v>
      </c>
      <c r="I60" s="177" t="s">
        <v>216</v>
      </c>
      <c r="J60" s="177" t="s">
        <v>216</v>
      </c>
      <c r="K60" s="177" t="s">
        <v>200</v>
      </c>
      <c r="L60" s="177" t="s">
        <v>200</v>
      </c>
      <c r="M60" s="177" t="s">
        <v>216</v>
      </c>
      <c r="N60" s="177" t="s">
        <v>216</v>
      </c>
      <c r="O60" s="177" t="s">
        <v>216</v>
      </c>
    </row>
    <row r="61" spans="1:15" ht="54">
      <c r="A61" s="215"/>
      <c r="B61" s="339" t="s">
        <v>161</v>
      </c>
      <c r="C61" s="339"/>
      <c r="D61" s="339"/>
      <c r="E61" s="113"/>
      <c r="F61" s="114">
        <v>45786</v>
      </c>
      <c r="G61" s="114">
        <v>45786</v>
      </c>
      <c r="H61" s="114">
        <v>45786</v>
      </c>
      <c r="I61" s="114">
        <v>45786</v>
      </c>
      <c r="J61" s="114">
        <v>45786</v>
      </c>
      <c r="K61" s="114">
        <v>45786</v>
      </c>
      <c r="L61" s="114">
        <v>45786</v>
      </c>
      <c r="M61" s="114">
        <v>45786</v>
      </c>
      <c r="N61" s="114">
        <v>45786</v>
      </c>
      <c r="O61" s="114">
        <v>45786</v>
      </c>
    </row>
    <row r="62" spans="1:15" ht="75" customHeight="1">
      <c r="A62" s="234"/>
      <c r="B62" s="335" t="s">
        <v>162</v>
      </c>
      <c r="C62" s="335"/>
      <c r="D62" s="335"/>
      <c r="E62" s="212"/>
      <c r="F62" s="213"/>
      <c r="G62" s="213"/>
      <c r="H62" s="213"/>
      <c r="I62" s="213"/>
      <c r="J62" s="213"/>
      <c r="K62" s="213" t="s">
        <v>370</v>
      </c>
      <c r="L62" s="213" t="s">
        <v>371</v>
      </c>
      <c r="M62" s="213"/>
      <c r="N62" s="213"/>
      <c r="O62" s="213"/>
    </row>
  </sheetData>
  <mergeCells count="28">
    <mergeCell ref="B62:D62"/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16:E16"/>
    <mergeCell ref="B59:D59"/>
    <mergeCell ref="B60:D60"/>
    <mergeCell ref="B61:D61"/>
  </mergeCells>
  <phoneticPr fontId="34" type="noConversion"/>
  <dataValidations count="3">
    <dataValidation type="list" allowBlank="1" showInputMessage="1" showErrorMessage="1" sqref="F59:O59" xr:uid="{ACC99805-0707-4B19-820F-D4E92862A3C8}">
      <formula1>"N,A,B, "</formula1>
    </dataValidation>
    <dataValidation type="list" allowBlank="1" showInputMessage="1" showErrorMessage="1" sqref="F60:O60" xr:uid="{C2EC396B-12FE-4AC0-9464-836BF5C7E296}">
      <formula1>"P,F, "</formula1>
    </dataValidation>
    <dataValidation type="list" allowBlank="1" showInputMessage="1" showErrorMessage="1" sqref="F10:O58" xr:uid="{8BB82F09-E9E0-4824-820D-4E41A506B5BE}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742D-DFD7-4DF8-9711-887DCE137CD3}">
  <dimension ref="A1:V62"/>
  <sheetViews>
    <sheetView workbookViewId="0">
      <pane ySplit="9" topLeftCell="A58" activePane="bottomLeft" state="frozen"/>
      <selection pane="bottomLeft" activeCell="L3" sqref="L3:N3"/>
    </sheetView>
  </sheetViews>
  <sheetFormatPr defaultColWidth="9" defaultRowHeight="13.5" customHeight="1"/>
  <cols>
    <col min="1" max="1" width="8.140625" style="78" customWidth="1"/>
    <col min="2" max="2" width="13.28515625" style="82" customWidth="1"/>
    <col min="3" max="3" width="10.85546875" style="78" customWidth="1"/>
    <col min="4" max="4" width="11.28515625" style="79" customWidth="1"/>
    <col min="5" max="5" width="1.85546875" style="78" hidden="1" customWidth="1"/>
    <col min="6" max="7" width="8.42578125" style="78" bestFit="1" customWidth="1"/>
    <col min="8" max="8" width="2.85546875" style="78" customWidth="1"/>
    <col min="9" max="10" width="8.42578125" style="78" bestFit="1" customWidth="1"/>
    <col min="11" max="19" width="2.85546875" style="78" customWidth="1"/>
    <col min="20" max="20" width="5.140625" style="78" bestFit="1" customWidth="1"/>
    <col min="21" max="21" width="2.85546875" style="78" customWidth="1"/>
    <col min="22" max="16384" width="9" style="78"/>
  </cols>
  <sheetData>
    <row r="1" spans="1:22" ht="13.5" customHeight="1">
      <c r="A1" s="76"/>
      <c r="B1" s="77"/>
    </row>
    <row r="2" spans="1:22" ht="13.5" customHeight="1">
      <c r="A2" s="367" t="s">
        <v>121</v>
      </c>
      <c r="B2" s="368"/>
      <c r="C2" s="369"/>
      <c r="D2" s="370"/>
      <c r="E2" s="371"/>
      <c r="F2" s="372" t="s">
        <v>75</v>
      </c>
      <c r="G2" s="373"/>
      <c r="H2" s="373"/>
      <c r="I2" s="373"/>
      <c r="J2" s="373"/>
      <c r="K2" s="373"/>
      <c r="L2" s="374" t="str">
        <f>Functions!D22</f>
        <v>createCustomizeOrder</v>
      </c>
      <c r="M2" s="427"/>
      <c r="N2" s="427"/>
      <c r="O2" s="427"/>
      <c r="P2" s="427"/>
      <c r="Q2" s="427"/>
      <c r="R2" s="427"/>
      <c r="S2" s="427"/>
      <c r="T2" s="428"/>
      <c r="V2" s="80"/>
    </row>
    <row r="3" spans="1:22" ht="13.5" customHeight="1">
      <c r="A3" s="355" t="s">
        <v>122</v>
      </c>
      <c r="B3" s="356"/>
      <c r="C3" s="377" t="s">
        <v>321</v>
      </c>
      <c r="D3" s="378"/>
      <c r="E3" s="379"/>
      <c r="F3" s="359" t="s">
        <v>124</v>
      </c>
      <c r="G3" s="360"/>
      <c r="H3" s="360"/>
      <c r="I3" s="360"/>
      <c r="J3" s="360"/>
      <c r="K3" s="361"/>
      <c r="L3" s="378" t="s">
        <v>321</v>
      </c>
      <c r="M3" s="378"/>
      <c r="N3" s="378"/>
      <c r="O3" s="178"/>
      <c r="P3" s="178"/>
      <c r="Q3" s="178"/>
      <c r="R3" s="178"/>
      <c r="S3" s="178"/>
      <c r="T3" s="179"/>
    </row>
    <row r="4" spans="1:22" ht="13.5" customHeight="1">
      <c r="A4" s="355" t="s">
        <v>125</v>
      </c>
      <c r="B4" s="356"/>
      <c r="C4" s="357"/>
      <c r="D4" s="358"/>
      <c r="E4" s="189"/>
      <c r="F4" s="359" t="s">
        <v>126</v>
      </c>
      <c r="G4" s="360"/>
      <c r="H4" s="360"/>
      <c r="I4" s="360"/>
      <c r="J4" s="360"/>
      <c r="K4" s="361"/>
      <c r="L4" s="362">
        <v>0</v>
      </c>
      <c r="M4" s="363"/>
      <c r="N4" s="363"/>
      <c r="O4" s="363"/>
      <c r="P4" s="363"/>
      <c r="Q4" s="363"/>
      <c r="R4" s="363"/>
      <c r="S4" s="363"/>
      <c r="T4" s="364"/>
      <c r="V4" s="80"/>
    </row>
    <row r="5" spans="1:22" ht="13.5" customHeight="1">
      <c r="A5" s="355" t="s">
        <v>127</v>
      </c>
      <c r="B5" s="356"/>
      <c r="C5" s="365"/>
      <c r="D5" s="365"/>
      <c r="E5" s="365"/>
      <c r="F5" s="366"/>
      <c r="G5" s="366"/>
      <c r="H5" s="366"/>
      <c r="I5" s="366"/>
      <c r="J5" s="366"/>
      <c r="K5" s="366"/>
      <c r="L5" s="365"/>
      <c r="M5" s="365"/>
      <c r="N5" s="365"/>
      <c r="O5" s="365"/>
      <c r="P5" s="365"/>
      <c r="Q5" s="365"/>
      <c r="R5" s="365"/>
      <c r="S5" s="365"/>
      <c r="T5" s="365"/>
    </row>
    <row r="6" spans="1:22" ht="13.5" customHeight="1">
      <c r="A6" s="352" t="s">
        <v>108</v>
      </c>
      <c r="B6" s="353"/>
      <c r="C6" s="340" t="s">
        <v>109</v>
      </c>
      <c r="D6" s="341"/>
      <c r="E6" s="354"/>
      <c r="F6" s="340" t="s">
        <v>110</v>
      </c>
      <c r="G6" s="341"/>
      <c r="H6" s="341"/>
      <c r="I6" s="341"/>
      <c r="J6" s="341"/>
      <c r="K6" s="342"/>
      <c r="L6" s="341" t="s">
        <v>129</v>
      </c>
      <c r="M6" s="341"/>
      <c r="N6" s="341"/>
      <c r="O6" s="343" t="s">
        <v>113</v>
      </c>
      <c r="P6" s="341"/>
      <c r="Q6" s="341"/>
      <c r="R6" s="341"/>
      <c r="S6" s="341"/>
      <c r="T6" s="344"/>
      <c r="V6" s="80"/>
    </row>
    <row r="7" spans="1:22" ht="13.5" customHeight="1">
      <c r="A7" s="345">
        <f>COUNTIF(F60:HL60,"P")</f>
        <v>9</v>
      </c>
      <c r="B7" s="346"/>
      <c r="C7" s="347">
        <f>COUNTIF(F60:HL60,"F")</f>
        <v>1</v>
      </c>
      <c r="D7" s="348"/>
      <c r="E7" s="346"/>
      <c r="F7" s="347">
        <f>SUM(O7,- A7,- C7)</f>
        <v>0</v>
      </c>
      <c r="G7" s="348"/>
      <c r="H7" s="348"/>
      <c r="I7" s="348"/>
      <c r="J7" s="348"/>
      <c r="K7" s="349"/>
      <c r="L7" s="180">
        <f>COUNTIF(E59:HL59,"N")</f>
        <v>1</v>
      </c>
      <c r="M7" s="180">
        <f>COUNTIF(E59:HL59,"A")</f>
        <v>9</v>
      </c>
      <c r="N7" s="180">
        <f>COUNTIF(E59:HL59,"B")</f>
        <v>0</v>
      </c>
      <c r="O7" s="350">
        <f>COUNTA(E9:HO9)</f>
        <v>10</v>
      </c>
      <c r="P7" s="348"/>
      <c r="Q7" s="348"/>
      <c r="R7" s="348"/>
      <c r="S7" s="348"/>
      <c r="T7" s="351"/>
      <c r="U7" s="81"/>
    </row>
    <row r="8" spans="1:22" ht="10.5"/>
    <row r="9" spans="1:22" ht="46.5" customHeight="1">
      <c r="A9" s="235"/>
      <c r="B9" s="236"/>
      <c r="C9" s="237"/>
      <c r="D9" s="238"/>
      <c r="E9" s="237"/>
      <c r="F9" s="239" t="s">
        <v>130</v>
      </c>
      <c r="G9" s="239" t="s">
        <v>131</v>
      </c>
      <c r="H9" s="239" t="s">
        <v>164</v>
      </c>
      <c r="I9" s="239" t="s">
        <v>165</v>
      </c>
      <c r="J9" s="239" t="s">
        <v>166</v>
      </c>
      <c r="K9" s="239" t="s">
        <v>167</v>
      </c>
      <c r="L9" s="239" t="s">
        <v>132</v>
      </c>
      <c r="M9" s="239" t="s">
        <v>133</v>
      </c>
      <c r="N9" s="239" t="s">
        <v>134</v>
      </c>
      <c r="O9" s="239" t="s">
        <v>135</v>
      </c>
      <c r="P9" s="460"/>
      <c r="Q9" s="80"/>
    </row>
    <row r="10" spans="1:22" ht="13.5" customHeight="1">
      <c r="A10" s="217" t="s">
        <v>141</v>
      </c>
      <c r="B10" s="218" t="s">
        <v>168</v>
      </c>
      <c r="C10" s="219"/>
      <c r="D10" s="220"/>
      <c r="E10" s="91"/>
      <c r="F10" s="175"/>
      <c r="G10" s="175"/>
      <c r="H10" s="175"/>
      <c r="I10" s="175"/>
      <c r="J10" s="175"/>
      <c r="K10" s="175"/>
      <c r="L10" s="175"/>
      <c r="M10" s="175"/>
      <c r="N10" s="175"/>
      <c r="O10" s="175"/>
    </row>
    <row r="11" spans="1:22" ht="13.5" customHeight="1">
      <c r="A11" s="203"/>
      <c r="B11" s="86"/>
      <c r="C11" s="87"/>
      <c r="D11" s="88" t="s">
        <v>169</v>
      </c>
      <c r="E11" s="91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Q11" s="80"/>
    </row>
    <row r="12" spans="1:22" ht="13.5" customHeight="1">
      <c r="A12" s="203"/>
      <c r="B12" s="86" t="s">
        <v>346</v>
      </c>
      <c r="C12" s="87"/>
      <c r="D12" s="88"/>
      <c r="E12" s="461"/>
      <c r="F12" s="172"/>
      <c r="G12" s="172"/>
      <c r="H12" s="172"/>
      <c r="I12" s="172"/>
      <c r="J12" s="172"/>
      <c r="K12" s="172"/>
      <c r="L12" s="172"/>
      <c r="M12" s="172"/>
      <c r="N12" s="172"/>
      <c r="O12" s="172"/>
    </row>
    <row r="13" spans="1:22" ht="13.5" customHeight="1">
      <c r="A13" s="203"/>
      <c r="B13" s="86"/>
      <c r="C13" s="87"/>
      <c r="D13" s="88" t="s">
        <v>331</v>
      </c>
      <c r="E13" s="461"/>
      <c r="F13" s="172"/>
      <c r="G13" s="172" t="s">
        <v>144</v>
      </c>
      <c r="H13" s="172" t="s">
        <v>144</v>
      </c>
      <c r="I13" s="172" t="s">
        <v>144</v>
      </c>
      <c r="J13" s="172" t="s">
        <v>144</v>
      </c>
      <c r="K13" s="172" t="s">
        <v>144</v>
      </c>
      <c r="L13" s="172" t="s">
        <v>144</v>
      </c>
      <c r="M13" s="172" t="s">
        <v>144</v>
      </c>
      <c r="N13" s="172" t="s">
        <v>144</v>
      </c>
      <c r="O13" s="172" t="s">
        <v>144</v>
      </c>
    </row>
    <row r="14" spans="1:22" ht="13.5" customHeight="1">
      <c r="A14" s="203"/>
      <c r="B14" s="86"/>
      <c r="C14" s="87"/>
      <c r="D14" s="88" t="s">
        <v>327</v>
      </c>
      <c r="E14" s="93"/>
      <c r="F14" s="172" t="s">
        <v>144</v>
      </c>
      <c r="G14" s="172"/>
      <c r="H14" s="172"/>
      <c r="I14" s="172"/>
      <c r="J14" s="172"/>
      <c r="K14" s="172"/>
      <c r="L14" s="172"/>
      <c r="M14" s="172"/>
      <c r="N14" s="172"/>
      <c r="O14" s="172"/>
    </row>
    <row r="15" spans="1:22" ht="13.5" customHeight="1">
      <c r="A15" s="203"/>
      <c r="B15" s="86" t="s">
        <v>347</v>
      </c>
      <c r="C15" s="87"/>
      <c r="D15" s="88"/>
      <c r="E15" s="93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3"/>
    </row>
    <row r="16" spans="1:22" ht="13.5" customHeight="1">
      <c r="A16" s="203"/>
      <c r="B16" s="86"/>
      <c r="C16" s="87"/>
      <c r="D16" s="448" t="s">
        <v>331</v>
      </c>
      <c r="E16" s="448"/>
      <c r="F16" s="172" t="s">
        <v>144</v>
      </c>
      <c r="G16" s="172"/>
      <c r="H16" s="172" t="s">
        <v>144</v>
      </c>
      <c r="I16" s="172" t="s">
        <v>144</v>
      </c>
      <c r="J16" s="172" t="s">
        <v>144</v>
      </c>
      <c r="K16" s="172" t="s">
        <v>144</v>
      </c>
      <c r="L16" s="172" t="s">
        <v>144</v>
      </c>
      <c r="M16" s="172" t="s">
        <v>144</v>
      </c>
      <c r="N16" s="172" t="s">
        <v>144</v>
      </c>
      <c r="O16" s="172" t="s">
        <v>144</v>
      </c>
    </row>
    <row r="17" spans="1:15" ht="13.5" customHeight="1">
      <c r="A17" s="203"/>
      <c r="B17" s="86"/>
      <c r="C17" s="87"/>
      <c r="D17" s="88" t="s">
        <v>327</v>
      </c>
      <c r="E17" s="93"/>
      <c r="F17" s="172"/>
      <c r="G17" s="172" t="s">
        <v>144</v>
      </c>
      <c r="H17" s="172"/>
      <c r="I17" s="172"/>
      <c r="J17" s="172"/>
      <c r="K17" s="172"/>
      <c r="L17" s="172"/>
      <c r="M17" s="172"/>
      <c r="N17" s="172"/>
      <c r="O17" s="172"/>
    </row>
    <row r="18" spans="1:15" ht="13.5" customHeight="1">
      <c r="A18" s="203"/>
      <c r="B18" s="86" t="s">
        <v>348</v>
      </c>
      <c r="C18" s="87"/>
      <c r="D18" s="88"/>
      <c r="E18" s="93"/>
      <c r="F18" s="172"/>
      <c r="G18" s="172"/>
      <c r="H18" s="172"/>
      <c r="I18" s="172"/>
      <c r="J18" s="172"/>
      <c r="K18" s="172"/>
      <c r="L18" s="172"/>
      <c r="M18" s="172"/>
      <c r="N18" s="172"/>
      <c r="O18" s="172"/>
    </row>
    <row r="19" spans="1:15" ht="13.5" customHeight="1">
      <c r="A19" s="203"/>
      <c r="B19" s="86"/>
      <c r="C19" s="87"/>
      <c r="D19" s="88" t="s">
        <v>349</v>
      </c>
      <c r="E19" s="461"/>
      <c r="F19" s="172" t="s">
        <v>144</v>
      </c>
      <c r="G19" s="172" t="s">
        <v>144</v>
      </c>
      <c r="H19" s="172"/>
      <c r="I19" s="172" t="s">
        <v>144</v>
      </c>
      <c r="J19" s="172" t="s">
        <v>144</v>
      </c>
      <c r="K19" s="172" t="s">
        <v>144</v>
      </c>
      <c r="L19" s="172" t="s">
        <v>144</v>
      </c>
      <c r="M19" s="172" t="s">
        <v>144</v>
      </c>
      <c r="N19" s="172" t="s">
        <v>144</v>
      </c>
      <c r="O19" s="172" t="s">
        <v>144</v>
      </c>
    </row>
    <row r="20" spans="1:15" ht="13.5" customHeight="1">
      <c r="A20" s="203"/>
      <c r="B20" s="86"/>
      <c r="C20" s="87"/>
      <c r="D20" s="88" t="s">
        <v>350</v>
      </c>
      <c r="E20" s="93"/>
      <c r="F20" s="172"/>
      <c r="G20" s="172"/>
      <c r="H20" s="172" t="s">
        <v>144</v>
      </c>
      <c r="I20" s="172"/>
      <c r="J20" s="172"/>
      <c r="K20" s="172"/>
      <c r="L20" s="172"/>
      <c r="M20" s="172"/>
      <c r="N20" s="172"/>
      <c r="O20" s="172"/>
    </row>
    <row r="21" spans="1:15" ht="13.5" customHeight="1">
      <c r="A21" s="203"/>
      <c r="B21" s="86" t="s">
        <v>351</v>
      </c>
      <c r="C21" s="87"/>
      <c r="D21" s="88"/>
      <c r="E21" s="93"/>
      <c r="F21" s="172"/>
      <c r="G21" s="172"/>
      <c r="H21" s="172"/>
      <c r="I21" s="172"/>
      <c r="J21" s="172"/>
      <c r="K21" s="172"/>
      <c r="L21" s="172"/>
      <c r="M21" s="172"/>
      <c r="N21" s="172"/>
      <c r="O21" s="172"/>
    </row>
    <row r="22" spans="1:15" ht="13.5" customHeight="1">
      <c r="A22" s="203"/>
      <c r="B22" s="86"/>
      <c r="C22" s="87"/>
      <c r="D22" s="88" t="s">
        <v>331</v>
      </c>
      <c r="E22" s="93"/>
      <c r="F22" s="172" t="s">
        <v>144</v>
      </c>
      <c r="G22" s="172" t="s">
        <v>144</v>
      </c>
      <c r="H22" s="172" t="s">
        <v>144</v>
      </c>
      <c r="I22" s="172" t="s">
        <v>144</v>
      </c>
      <c r="J22" s="172" t="s">
        <v>144</v>
      </c>
      <c r="K22" s="172" t="s">
        <v>144</v>
      </c>
      <c r="L22" s="172" t="s">
        <v>144</v>
      </c>
      <c r="M22" s="172" t="s">
        <v>144</v>
      </c>
      <c r="N22" s="172" t="s">
        <v>144</v>
      </c>
      <c r="O22" s="172" t="s">
        <v>144</v>
      </c>
    </row>
    <row r="23" spans="1:15" ht="13.5" customHeight="1">
      <c r="A23" s="203"/>
      <c r="B23" s="86" t="s">
        <v>352</v>
      </c>
      <c r="C23" s="87"/>
      <c r="D23" s="88"/>
      <c r="E23" s="93"/>
      <c r="F23" s="172"/>
      <c r="G23" s="172"/>
      <c r="H23" s="172"/>
      <c r="I23" s="172"/>
      <c r="J23" s="172"/>
      <c r="K23" s="172"/>
      <c r="L23" s="172"/>
      <c r="M23" s="172"/>
      <c r="N23" s="172"/>
      <c r="O23" s="172"/>
    </row>
    <row r="24" spans="1:15" ht="13.5" customHeight="1">
      <c r="A24" s="203"/>
      <c r="B24" s="86"/>
      <c r="C24" s="87"/>
      <c r="D24" s="88" t="s">
        <v>331</v>
      </c>
      <c r="E24" s="93"/>
      <c r="F24" s="172" t="s">
        <v>144</v>
      </c>
      <c r="G24" s="172" t="s">
        <v>144</v>
      </c>
      <c r="H24" s="172" t="s">
        <v>144</v>
      </c>
      <c r="I24" s="172" t="s">
        <v>144</v>
      </c>
      <c r="J24" s="172" t="s">
        <v>144</v>
      </c>
      <c r="K24" s="172" t="s">
        <v>144</v>
      </c>
      <c r="L24" s="172" t="s">
        <v>144</v>
      </c>
      <c r="M24" s="172" t="s">
        <v>144</v>
      </c>
      <c r="N24" s="172" t="s">
        <v>144</v>
      </c>
      <c r="O24" s="172" t="s">
        <v>144</v>
      </c>
    </row>
    <row r="25" spans="1:15" ht="13.5" customHeight="1">
      <c r="A25" s="203"/>
      <c r="B25" s="86" t="s">
        <v>303</v>
      </c>
      <c r="C25" s="87"/>
      <c r="D25" s="88"/>
      <c r="E25" s="93"/>
      <c r="F25" s="172"/>
      <c r="G25" s="172"/>
      <c r="H25" s="172"/>
      <c r="I25" s="172"/>
      <c r="J25" s="172"/>
      <c r="K25" s="172"/>
      <c r="L25" s="172"/>
      <c r="M25" s="172"/>
      <c r="N25" s="172"/>
      <c r="O25" s="172"/>
    </row>
    <row r="26" spans="1:15" ht="13.5" customHeight="1">
      <c r="A26" s="203"/>
      <c r="B26" s="86"/>
      <c r="C26" s="87"/>
      <c r="D26" s="88" t="s">
        <v>354</v>
      </c>
      <c r="E26" s="93"/>
      <c r="F26" s="172"/>
      <c r="G26" s="172"/>
      <c r="H26" s="172"/>
      <c r="I26" s="172" t="s">
        <v>144</v>
      </c>
      <c r="J26" s="172"/>
      <c r="K26" s="172"/>
      <c r="L26" s="172"/>
      <c r="M26" s="172"/>
      <c r="N26" s="172"/>
      <c r="O26" s="172"/>
    </row>
    <row r="27" spans="1:15" ht="13.5" customHeight="1">
      <c r="A27" s="203"/>
      <c r="B27" s="86"/>
      <c r="C27" s="87"/>
      <c r="D27" s="88" t="s">
        <v>372</v>
      </c>
      <c r="E27" s="93"/>
      <c r="F27" s="172" t="s">
        <v>144</v>
      </c>
      <c r="G27" s="172" t="s">
        <v>144</v>
      </c>
      <c r="H27" s="172" t="s">
        <v>144</v>
      </c>
      <c r="I27" s="172"/>
      <c r="J27" s="172" t="s">
        <v>144</v>
      </c>
      <c r="K27" s="172" t="s">
        <v>144</v>
      </c>
      <c r="L27" s="172" t="s">
        <v>144</v>
      </c>
      <c r="M27" s="172" t="s">
        <v>144</v>
      </c>
      <c r="N27" s="172" t="s">
        <v>144</v>
      </c>
      <c r="O27" s="172" t="s">
        <v>144</v>
      </c>
    </row>
    <row r="28" spans="1:15" ht="13.5" customHeight="1">
      <c r="A28" s="203"/>
      <c r="B28" s="86" t="s">
        <v>255</v>
      </c>
      <c r="C28" s="87"/>
      <c r="D28" s="88"/>
      <c r="E28" s="93"/>
      <c r="F28" s="172"/>
      <c r="G28" s="172"/>
      <c r="H28" s="172"/>
      <c r="I28" s="172"/>
      <c r="J28" s="172"/>
      <c r="K28" s="172"/>
      <c r="L28" s="172"/>
      <c r="M28" s="172"/>
      <c r="N28" s="172"/>
      <c r="O28" s="172"/>
    </row>
    <row r="29" spans="1:15" ht="13.5" customHeight="1">
      <c r="A29" s="203"/>
      <c r="B29" s="86"/>
      <c r="C29" s="87"/>
      <c r="D29" s="88" t="s">
        <v>331</v>
      </c>
      <c r="E29" s="93"/>
      <c r="F29" s="172" t="s">
        <v>144</v>
      </c>
      <c r="G29" s="172" t="s">
        <v>144</v>
      </c>
      <c r="H29" s="172" t="s">
        <v>144</v>
      </c>
      <c r="I29" s="172"/>
      <c r="J29" s="172" t="s">
        <v>144</v>
      </c>
      <c r="K29" s="172" t="s">
        <v>144</v>
      </c>
      <c r="L29" s="172" t="s">
        <v>144</v>
      </c>
      <c r="M29" s="172" t="s">
        <v>144</v>
      </c>
      <c r="N29" s="172" t="s">
        <v>144</v>
      </c>
      <c r="O29" s="172" t="s">
        <v>144</v>
      </c>
    </row>
    <row r="30" spans="1:15" ht="13.5" customHeight="1">
      <c r="A30" s="203"/>
      <c r="B30" s="86"/>
      <c r="C30" s="87"/>
      <c r="D30" s="88" t="s">
        <v>327</v>
      </c>
      <c r="E30" s="461"/>
      <c r="F30" s="172"/>
      <c r="G30" s="172"/>
      <c r="H30" s="172"/>
      <c r="I30" s="172" t="s">
        <v>144</v>
      </c>
      <c r="J30" s="172"/>
      <c r="K30" s="172"/>
      <c r="L30" s="172"/>
      <c r="M30" s="172"/>
      <c r="N30" s="172"/>
      <c r="O30" s="172"/>
    </row>
    <row r="31" spans="1:15" ht="13.5" customHeight="1">
      <c r="A31" s="203"/>
      <c r="B31" s="86" t="s">
        <v>177</v>
      </c>
      <c r="C31" s="87"/>
      <c r="D31" s="88"/>
      <c r="E31" s="461"/>
      <c r="F31" s="172"/>
      <c r="G31" s="172"/>
      <c r="H31" s="172"/>
      <c r="I31" s="172"/>
      <c r="J31" s="172"/>
      <c r="K31" s="172"/>
      <c r="L31" s="172"/>
      <c r="M31" s="172"/>
      <c r="N31" s="172"/>
      <c r="O31" s="172"/>
    </row>
    <row r="32" spans="1:15" ht="13.5" customHeight="1">
      <c r="A32" s="203"/>
      <c r="B32" s="86"/>
      <c r="C32" s="87"/>
      <c r="D32" s="88" t="s">
        <v>356</v>
      </c>
      <c r="E32" s="461"/>
      <c r="F32" s="172" t="s">
        <v>144</v>
      </c>
      <c r="G32" s="172" t="s">
        <v>144</v>
      </c>
      <c r="H32" s="172" t="s">
        <v>144</v>
      </c>
      <c r="I32" s="172" t="s">
        <v>144</v>
      </c>
      <c r="J32" s="172"/>
      <c r="K32" s="172" t="s">
        <v>144</v>
      </c>
      <c r="L32" s="172" t="s">
        <v>144</v>
      </c>
      <c r="M32" s="172" t="s">
        <v>144</v>
      </c>
      <c r="N32" s="172" t="s">
        <v>144</v>
      </c>
      <c r="O32" s="172" t="s">
        <v>144</v>
      </c>
    </row>
    <row r="33" spans="1:15" ht="13.5" customHeight="1">
      <c r="A33" s="203"/>
      <c r="B33" s="86"/>
      <c r="C33" s="87"/>
      <c r="D33" s="88" t="s">
        <v>354</v>
      </c>
      <c r="E33" s="461"/>
      <c r="F33" s="172"/>
      <c r="G33" s="172"/>
      <c r="H33" s="172"/>
      <c r="I33" s="172"/>
      <c r="J33" s="172" t="s">
        <v>144</v>
      </c>
      <c r="K33" s="172"/>
      <c r="L33" s="172"/>
      <c r="M33" s="172"/>
      <c r="N33" s="172"/>
      <c r="O33" s="172"/>
    </row>
    <row r="34" spans="1:15" ht="13.5" customHeight="1">
      <c r="A34" s="203"/>
      <c r="B34" s="86" t="s">
        <v>373</v>
      </c>
      <c r="C34" s="87"/>
      <c r="D34" s="88"/>
      <c r="E34" s="461"/>
      <c r="F34" s="172"/>
      <c r="G34" s="172"/>
      <c r="H34" s="172"/>
      <c r="I34" s="172"/>
      <c r="J34" s="172"/>
      <c r="K34" s="172"/>
      <c r="L34" s="172"/>
      <c r="M34" s="172"/>
      <c r="N34" s="172"/>
      <c r="O34" s="172"/>
    </row>
    <row r="35" spans="1:15" ht="96">
      <c r="A35" s="203"/>
      <c r="B35" s="86"/>
      <c r="C35" s="87"/>
      <c r="D35" s="282" t="s">
        <v>374</v>
      </c>
      <c r="E35" s="461"/>
      <c r="F35" s="172"/>
      <c r="G35" s="172"/>
      <c r="H35" s="172"/>
      <c r="I35" s="172"/>
      <c r="J35" s="172"/>
      <c r="K35" s="172" t="s">
        <v>144</v>
      </c>
      <c r="L35" s="172"/>
      <c r="M35" s="172"/>
      <c r="N35" s="172"/>
      <c r="O35" s="172"/>
    </row>
    <row r="36" spans="1:15" ht="96">
      <c r="A36" s="203"/>
      <c r="B36" s="86"/>
      <c r="C36" s="87"/>
      <c r="D36" s="282" t="s">
        <v>375</v>
      </c>
      <c r="E36" s="461"/>
      <c r="F36" s="172" t="s">
        <v>144</v>
      </c>
      <c r="G36" s="172" t="s">
        <v>144</v>
      </c>
      <c r="H36" s="172" t="s">
        <v>144</v>
      </c>
      <c r="I36" s="172" t="s">
        <v>144</v>
      </c>
      <c r="J36" s="172" t="s">
        <v>144</v>
      </c>
      <c r="K36" s="172"/>
      <c r="L36" s="172" t="s">
        <v>144</v>
      </c>
      <c r="M36" s="172" t="s">
        <v>144</v>
      </c>
      <c r="N36" s="172" t="s">
        <v>144</v>
      </c>
      <c r="O36" s="172" t="s">
        <v>144</v>
      </c>
    </row>
    <row r="37" spans="1:15" ht="13.5" customHeight="1">
      <c r="A37" s="203"/>
      <c r="B37" s="86" t="s">
        <v>324</v>
      </c>
      <c r="C37" s="87"/>
      <c r="D37" s="88"/>
      <c r="E37" s="461"/>
      <c r="F37" s="172"/>
      <c r="G37" s="172"/>
      <c r="H37" s="172"/>
      <c r="I37" s="172"/>
      <c r="J37" s="172"/>
      <c r="K37" s="172"/>
      <c r="L37" s="172"/>
      <c r="M37" s="172"/>
      <c r="N37" s="172"/>
      <c r="O37" s="172"/>
    </row>
    <row r="38" spans="1:15" ht="13.5" customHeight="1">
      <c r="A38" s="203"/>
      <c r="B38" s="86"/>
      <c r="C38" s="87"/>
      <c r="D38" s="88" t="b">
        <v>1</v>
      </c>
      <c r="E38" s="461"/>
      <c r="F38" s="172" t="s">
        <v>144</v>
      </c>
      <c r="G38" s="172" t="s">
        <v>144</v>
      </c>
      <c r="H38" s="172" t="s">
        <v>144</v>
      </c>
      <c r="I38" s="172" t="s">
        <v>144</v>
      </c>
      <c r="J38" s="172" t="s">
        <v>144</v>
      </c>
      <c r="K38" s="172" t="s">
        <v>144</v>
      </c>
      <c r="L38" s="172"/>
      <c r="M38" s="172" t="s">
        <v>144</v>
      </c>
      <c r="N38" s="172"/>
      <c r="O38" s="172" t="s">
        <v>144</v>
      </c>
    </row>
    <row r="39" spans="1:15" ht="13.5" customHeight="1">
      <c r="A39" s="203"/>
      <c r="B39" s="86"/>
      <c r="C39" s="87"/>
      <c r="D39" s="88" t="b">
        <v>0</v>
      </c>
      <c r="E39" s="461"/>
      <c r="F39" s="172"/>
      <c r="G39" s="172"/>
      <c r="H39" s="172"/>
      <c r="I39" s="172"/>
      <c r="J39" s="172"/>
      <c r="K39" s="172"/>
      <c r="L39" s="172"/>
      <c r="M39" s="172"/>
      <c r="N39" s="172" t="s">
        <v>144</v>
      </c>
      <c r="O39" s="172"/>
    </row>
    <row r="40" spans="1:15" ht="13.5" customHeight="1">
      <c r="A40" s="203"/>
      <c r="B40" s="86"/>
      <c r="C40" s="87"/>
      <c r="D40" s="88" t="s">
        <v>354</v>
      </c>
      <c r="E40" s="461"/>
      <c r="F40" s="172"/>
      <c r="G40" s="172"/>
      <c r="H40" s="172"/>
      <c r="I40" s="172"/>
      <c r="J40" s="172"/>
      <c r="K40" s="172"/>
      <c r="L40" s="172" t="s">
        <v>144</v>
      </c>
      <c r="M40" s="172"/>
      <c r="N40" s="172"/>
      <c r="O40" s="172"/>
    </row>
    <row r="41" spans="1:15" ht="13.5" customHeight="1">
      <c r="A41" s="203"/>
      <c r="B41" s="86" t="s">
        <v>360</v>
      </c>
      <c r="C41" s="87"/>
      <c r="D41" s="88"/>
      <c r="E41" s="461"/>
      <c r="F41" s="172"/>
      <c r="G41" s="172"/>
      <c r="H41" s="172"/>
      <c r="I41" s="172"/>
      <c r="J41" s="172"/>
      <c r="K41" s="172"/>
      <c r="L41" s="172"/>
      <c r="M41" s="172"/>
      <c r="N41" s="172"/>
      <c r="O41" s="172"/>
    </row>
    <row r="42" spans="1:15" ht="15">
      <c r="A42" s="203"/>
      <c r="B42" s="86"/>
      <c r="C42" s="87"/>
      <c r="D42" s="88" t="s">
        <v>354</v>
      </c>
      <c r="E42" s="461"/>
      <c r="F42" s="172"/>
      <c r="G42" s="172"/>
      <c r="H42" s="172"/>
      <c r="I42" s="172"/>
      <c r="J42" s="172"/>
      <c r="K42" s="172"/>
      <c r="L42" s="172"/>
      <c r="M42" s="172"/>
      <c r="N42" s="172" t="s">
        <v>144</v>
      </c>
      <c r="O42" s="172"/>
    </row>
    <row r="43" spans="1:15" ht="15">
      <c r="A43" s="203"/>
      <c r="B43" s="86"/>
      <c r="C43" s="87"/>
      <c r="D43" s="88">
        <v>-1</v>
      </c>
      <c r="E43" s="461"/>
      <c r="F43" s="172"/>
      <c r="G43" s="172"/>
      <c r="H43" s="172"/>
      <c r="I43" s="172"/>
      <c r="J43" s="172"/>
      <c r="K43" s="172"/>
      <c r="L43" s="172"/>
      <c r="M43" s="172" t="s">
        <v>144</v>
      </c>
      <c r="N43" s="172"/>
      <c r="O43" s="172"/>
    </row>
    <row r="44" spans="1:15" ht="13.5" customHeight="1">
      <c r="A44" s="203"/>
      <c r="B44" s="86"/>
      <c r="C44" s="87"/>
      <c r="D44" s="88">
        <v>1000000</v>
      </c>
      <c r="E44" s="461"/>
      <c r="F44" s="172" t="s">
        <v>144</v>
      </c>
      <c r="G44" s="172" t="s">
        <v>144</v>
      </c>
      <c r="H44" s="172" t="s">
        <v>144</v>
      </c>
      <c r="I44" s="172" t="s">
        <v>144</v>
      </c>
      <c r="J44" s="172" t="s">
        <v>144</v>
      </c>
      <c r="K44" s="172" t="s">
        <v>144</v>
      </c>
      <c r="L44" s="172" t="s">
        <v>144</v>
      </c>
      <c r="M44" s="172"/>
      <c r="N44" s="172"/>
      <c r="O44" s="172" t="s">
        <v>144</v>
      </c>
    </row>
    <row r="45" spans="1:15" ht="13.5" customHeight="1">
      <c r="A45" s="216" t="s">
        <v>147</v>
      </c>
      <c r="B45" s="462" t="s">
        <v>198</v>
      </c>
      <c r="C45" s="463"/>
      <c r="D45" s="102"/>
      <c r="E45" s="103"/>
      <c r="F45" s="175"/>
      <c r="G45" s="175"/>
      <c r="H45" s="175"/>
      <c r="I45" s="175"/>
      <c r="J45" s="175"/>
      <c r="K45" s="175"/>
      <c r="L45" s="175"/>
      <c r="M45" s="175"/>
      <c r="N45" s="175"/>
      <c r="O45" s="175"/>
    </row>
    <row r="46" spans="1:15" ht="13.5" customHeight="1">
      <c r="A46" s="215"/>
      <c r="B46" s="464"/>
      <c r="C46" s="465"/>
      <c r="D46" s="107" t="s">
        <v>276</v>
      </c>
      <c r="E46" s="108"/>
      <c r="F46" s="172" t="s">
        <v>144</v>
      </c>
      <c r="G46" s="172" t="s">
        <v>144</v>
      </c>
      <c r="H46" s="172" t="s">
        <v>144</v>
      </c>
      <c r="I46" s="172" t="s">
        <v>144</v>
      </c>
      <c r="J46" s="172" t="s">
        <v>144</v>
      </c>
      <c r="K46" s="172" t="s">
        <v>144</v>
      </c>
      <c r="L46" s="172" t="s">
        <v>144</v>
      </c>
      <c r="M46" s="172" t="s">
        <v>144</v>
      </c>
      <c r="N46" s="172" t="s">
        <v>144</v>
      </c>
      <c r="O46" s="172" t="s">
        <v>144</v>
      </c>
    </row>
    <row r="47" spans="1:15" ht="13.5" customHeight="1">
      <c r="A47" s="215"/>
      <c r="B47" s="464" t="s">
        <v>201</v>
      </c>
      <c r="C47" s="466"/>
      <c r="D47" s="107"/>
      <c r="E47" s="110"/>
      <c r="F47" s="172"/>
      <c r="G47" s="172"/>
      <c r="H47" s="172"/>
      <c r="I47" s="172"/>
      <c r="J47" s="172"/>
      <c r="K47" s="172"/>
      <c r="L47" s="172"/>
      <c r="M47" s="172"/>
      <c r="N47" s="172"/>
      <c r="O47" s="172"/>
    </row>
    <row r="48" spans="1:15" ht="13.5" customHeight="1">
      <c r="A48" s="215"/>
      <c r="B48" s="464"/>
      <c r="C48" s="466"/>
      <c r="D48" s="107"/>
      <c r="E48" s="110"/>
      <c r="F48" s="172"/>
      <c r="G48" s="172"/>
      <c r="H48" s="172"/>
      <c r="I48" s="172"/>
      <c r="J48" s="172"/>
      <c r="K48" s="172"/>
      <c r="L48" s="172"/>
      <c r="M48" s="172"/>
      <c r="N48" s="172"/>
      <c r="O48" s="172"/>
    </row>
    <row r="49" spans="1:15" ht="13.5" customHeight="1">
      <c r="A49" s="215"/>
      <c r="B49" s="464" t="s">
        <v>202</v>
      </c>
      <c r="C49" s="466"/>
      <c r="D49" s="107"/>
      <c r="E49" s="110"/>
      <c r="F49" s="172"/>
      <c r="G49" s="172"/>
      <c r="H49" s="172"/>
      <c r="I49" s="172"/>
      <c r="J49" s="172"/>
      <c r="K49" s="172"/>
      <c r="L49" s="172"/>
      <c r="M49" s="172"/>
      <c r="N49" s="172"/>
      <c r="O49" s="172"/>
    </row>
    <row r="50" spans="1:15" ht="13.5" customHeight="1">
      <c r="A50" s="215"/>
      <c r="B50" s="464"/>
      <c r="C50" s="466"/>
      <c r="D50" s="107" t="s">
        <v>361</v>
      </c>
      <c r="E50" s="110"/>
      <c r="F50" s="172" t="s">
        <v>144</v>
      </c>
      <c r="G50" s="172"/>
      <c r="H50" s="172"/>
      <c r="I50" s="172"/>
      <c r="J50" s="172"/>
      <c r="K50" s="172"/>
      <c r="L50" s="172"/>
      <c r="M50" s="172"/>
      <c r="N50" s="172"/>
      <c r="O50" s="172"/>
    </row>
    <row r="51" spans="1:15" ht="13.5" customHeight="1">
      <c r="A51" s="215"/>
      <c r="B51" s="464"/>
      <c r="C51" s="466"/>
      <c r="D51" s="107" t="s">
        <v>362</v>
      </c>
      <c r="E51" s="110"/>
      <c r="F51" s="172"/>
      <c r="G51" s="172" t="s">
        <v>144</v>
      </c>
      <c r="H51" s="172"/>
      <c r="I51" s="172"/>
      <c r="J51" s="172"/>
      <c r="K51" s="172"/>
      <c r="L51" s="172"/>
      <c r="M51" s="172"/>
      <c r="N51" s="172"/>
      <c r="O51" s="172"/>
    </row>
    <row r="52" spans="1:15" ht="13.5" customHeight="1">
      <c r="A52" s="215"/>
      <c r="B52" s="464"/>
      <c r="C52" s="466"/>
      <c r="D52" s="107" t="s">
        <v>363</v>
      </c>
      <c r="E52" s="110"/>
      <c r="F52" s="172"/>
      <c r="G52" s="172"/>
      <c r="H52" s="172" t="s">
        <v>144</v>
      </c>
      <c r="I52" s="172"/>
      <c r="J52" s="172"/>
      <c r="K52" s="172"/>
      <c r="L52" s="172"/>
      <c r="M52" s="172"/>
      <c r="N52" s="172"/>
      <c r="O52" s="172"/>
    </row>
    <row r="53" spans="1:15" ht="13.5" customHeight="1">
      <c r="A53" s="215"/>
      <c r="B53" s="464"/>
      <c r="C53" s="466"/>
      <c r="D53" s="107" t="s">
        <v>364</v>
      </c>
      <c r="E53" s="110"/>
      <c r="F53" s="172"/>
      <c r="G53" s="172"/>
      <c r="H53" s="172"/>
      <c r="I53" s="172" t="s">
        <v>144</v>
      </c>
      <c r="J53" s="172"/>
      <c r="K53" s="172"/>
      <c r="L53" s="172"/>
      <c r="M53" s="172"/>
      <c r="N53" s="172"/>
      <c r="O53" s="172"/>
    </row>
    <row r="54" spans="1:15" ht="13.5" customHeight="1">
      <c r="A54" s="215"/>
      <c r="B54" s="464"/>
      <c r="C54" s="466"/>
      <c r="D54" s="107" t="s">
        <v>365</v>
      </c>
      <c r="E54" s="110"/>
      <c r="F54" s="172"/>
      <c r="G54" s="172"/>
      <c r="H54" s="172"/>
      <c r="I54" s="172"/>
      <c r="J54" s="172" t="s">
        <v>144</v>
      </c>
      <c r="K54" s="172"/>
      <c r="L54" s="172"/>
      <c r="M54" s="172"/>
      <c r="N54" s="172"/>
      <c r="O54" s="172"/>
    </row>
    <row r="55" spans="1:15" ht="13.5" customHeight="1">
      <c r="A55" s="215"/>
      <c r="B55" s="464"/>
      <c r="C55" s="466"/>
      <c r="D55" s="107" t="s">
        <v>366</v>
      </c>
      <c r="E55" s="110"/>
      <c r="F55" s="172"/>
      <c r="G55" s="172"/>
      <c r="H55" s="172"/>
      <c r="I55" s="172"/>
      <c r="J55" s="172"/>
      <c r="K55" s="172" t="s">
        <v>144</v>
      </c>
      <c r="L55" s="172"/>
      <c r="M55" s="172"/>
      <c r="N55" s="172"/>
      <c r="O55" s="172"/>
    </row>
    <row r="56" spans="1:15" ht="13.5" customHeight="1">
      <c r="A56" s="215"/>
      <c r="B56" s="464"/>
      <c r="C56" s="466"/>
      <c r="D56" s="107" t="s">
        <v>367</v>
      </c>
      <c r="E56" s="110"/>
      <c r="F56" s="172"/>
      <c r="G56" s="172"/>
      <c r="H56" s="172"/>
      <c r="I56" s="172"/>
      <c r="J56" s="172"/>
      <c r="K56" s="172"/>
      <c r="L56" s="172" t="s">
        <v>144</v>
      </c>
      <c r="M56" s="172"/>
      <c r="N56" s="172"/>
      <c r="O56" s="172"/>
    </row>
    <row r="57" spans="1:15" ht="13.5" customHeight="1">
      <c r="A57" s="215"/>
      <c r="B57" s="464"/>
      <c r="C57" s="466"/>
      <c r="D57" s="107" t="s">
        <v>368</v>
      </c>
      <c r="E57" s="110"/>
      <c r="F57" s="172"/>
      <c r="G57" s="172"/>
      <c r="H57" s="172"/>
      <c r="I57" s="172"/>
      <c r="J57" s="172"/>
      <c r="K57" s="172"/>
      <c r="L57" s="172"/>
      <c r="M57" s="172" t="s">
        <v>144</v>
      </c>
      <c r="N57" s="172" t="s">
        <v>144</v>
      </c>
      <c r="O57" s="172"/>
    </row>
    <row r="58" spans="1:15" ht="13.5" customHeight="1">
      <c r="A58" s="215"/>
      <c r="B58" s="464"/>
      <c r="C58" s="466"/>
      <c r="D58" s="107" t="s">
        <v>369</v>
      </c>
      <c r="E58" s="110"/>
      <c r="F58" s="172"/>
      <c r="G58" s="172"/>
      <c r="H58" s="172"/>
      <c r="I58" s="172"/>
      <c r="J58" s="172"/>
      <c r="K58" s="172"/>
      <c r="L58" s="172"/>
      <c r="M58" s="172"/>
      <c r="N58" s="172"/>
      <c r="O58" s="172" t="s">
        <v>144</v>
      </c>
    </row>
    <row r="59" spans="1:15" ht="13.5" customHeight="1">
      <c r="A59" s="216" t="s">
        <v>158</v>
      </c>
      <c r="B59" s="468" t="s">
        <v>159</v>
      </c>
      <c r="C59" s="468"/>
      <c r="D59" s="468"/>
      <c r="E59" s="467"/>
      <c r="F59" s="195" t="s">
        <v>62</v>
      </c>
      <c r="G59" s="195" t="s">
        <v>62</v>
      </c>
      <c r="H59" s="195" t="s">
        <v>62</v>
      </c>
      <c r="I59" s="195" t="s">
        <v>62</v>
      </c>
      <c r="J59" s="195" t="s">
        <v>62</v>
      </c>
      <c r="K59" s="195" t="s">
        <v>62</v>
      </c>
      <c r="L59" s="195" t="s">
        <v>62</v>
      </c>
      <c r="M59" s="195" t="s">
        <v>62</v>
      </c>
      <c r="N59" s="195" t="s">
        <v>62</v>
      </c>
      <c r="O59" s="195" t="s">
        <v>111</v>
      </c>
    </row>
    <row r="60" spans="1:15" ht="10.5">
      <c r="A60" s="215"/>
      <c r="B60" s="338" t="s">
        <v>160</v>
      </c>
      <c r="C60" s="338"/>
      <c r="D60" s="338"/>
      <c r="E60" s="112"/>
      <c r="F60" s="177" t="s">
        <v>216</v>
      </c>
      <c r="G60" s="177" t="s">
        <v>216</v>
      </c>
      <c r="H60" s="177" t="s">
        <v>216</v>
      </c>
      <c r="I60" s="177" t="s">
        <v>216</v>
      </c>
      <c r="J60" s="177" t="s">
        <v>216</v>
      </c>
      <c r="K60" s="177" t="s">
        <v>216</v>
      </c>
      <c r="L60" s="177" t="s">
        <v>216</v>
      </c>
      <c r="M60" s="177" t="s">
        <v>216</v>
      </c>
      <c r="N60" s="177" t="s">
        <v>216</v>
      </c>
      <c r="O60" s="177" t="s">
        <v>200</v>
      </c>
    </row>
    <row r="61" spans="1:15" ht="60.75" customHeight="1">
      <c r="A61" s="215"/>
      <c r="B61" s="339" t="s">
        <v>161</v>
      </c>
      <c r="C61" s="339"/>
      <c r="D61" s="339"/>
      <c r="E61" s="113"/>
      <c r="F61" s="114">
        <v>45786</v>
      </c>
      <c r="G61" s="114">
        <v>45786</v>
      </c>
      <c r="H61" s="114">
        <v>45786</v>
      </c>
      <c r="I61" s="114">
        <v>45786</v>
      </c>
      <c r="J61" s="114">
        <v>45786</v>
      </c>
      <c r="K61" s="114">
        <v>45786</v>
      </c>
      <c r="L61" s="114">
        <v>45786</v>
      </c>
      <c r="M61" s="114">
        <v>45786</v>
      </c>
      <c r="N61" s="114">
        <v>45786</v>
      </c>
      <c r="O61" s="114">
        <v>45786</v>
      </c>
    </row>
    <row r="62" spans="1:15" ht="75">
      <c r="A62" s="234"/>
      <c r="B62" s="335" t="s">
        <v>162</v>
      </c>
      <c r="C62" s="335"/>
      <c r="D62" s="335"/>
      <c r="E62" s="212"/>
      <c r="F62" s="213"/>
      <c r="G62" s="213"/>
      <c r="H62" s="213"/>
      <c r="I62" s="213"/>
      <c r="J62" s="213"/>
      <c r="K62" s="213"/>
      <c r="L62" s="213"/>
      <c r="M62" s="213"/>
      <c r="N62" s="213"/>
      <c r="O62" s="213" t="s">
        <v>376</v>
      </c>
    </row>
  </sheetData>
  <mergeCells count="28">
    <mergeCell ref="D16:E16"/>
    <mergeCell ref="B59:D59"/>
    <mergeCell ref="B60:D60"/>
    <mergeCell ref="B61:D61"/>
    <mergeCell ref="B62:D62"/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honeticPr fontId="34" type="noConversion"/>
  <dataValidations count="3">
    <dataValidation type="list" allowBlank="1" showInputMessage="1" showErrorMessage="1" sqref="F10:O58" xr:uid="{5E902CC3-53A5-4B67-B85D-1FD9E2F58837}">
      <formula1>"O, "</formula1>
    </dataValidation>
    <dataValidation type="list" allowBlank="1" showInputMessage="1" showErrorMessage="1" sqref="F60:O60" xr:uid="{2DD96CF5-8ABF-4BB4-A1AF-D851E6B99070}">
      <formula1>"P,F, "</formula1>
    </dataValidation>
    <dataValidation type="list" allowBlank="1" showInputMessage="1" showErrorMessage="1" sqref="F59:O59" xr:uid="{05C16B2D-7672-4F8D-8149-5A6E2ABE8FAB}">
      <formula1>"N,A,B,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FPT-Software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Hoang Anh</dc:creator>
  <cp:keywords/>
  <dc:description/>
  <cp:lastModifiedBy>an le</cp:lastModifiedBy>
  <cp:revision/>
  <dcterms:created xsi:type="dcterms:W3CDTF">2007-10-09T09:39:48Z</dcterms:created>
  <dcterms:modified xsi:type="dcterms:W3CDTF">2025-05-09T18:07:50Z</dcterms:modified>
  <cp:category/>
  <cp:contentStatus/>
</cp:coreProperties>
</file>