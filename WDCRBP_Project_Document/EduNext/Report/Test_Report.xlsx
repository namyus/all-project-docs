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https://d.docs.live.net/c3f802804eb530d1/SP25SE026_GSP48_WDCRBP/EduNext/Report/"/>
    </mc:Choice>
  </mc:AlternateContent>
  <xr:revisionPtr revIDLastSave="911" documentId="13_ncr:1_{AADFC94D-97E3-4E14-A5C4-5288658F7B23}" xr6:coauthVersionLast="47" xr6:coauthVersionMax="47" xr10:uidLastSave="{24E6F4E5-ABEF-4563-AC83-4E4A45550D14}"/>
  <bookViews>
    <workbookView xWindow="-98" yWindow="-98" windowWidth="21795" windowHeight="12975" tabRatio="821" firstSheet="2" activeTab="7" xr2:uid="{00000000-000D-0000-FFFF-FFFF00000000}"/>
  </bookViews>
  <sheets>
    <sheet name="Cover" sheetId="9" r:id="rId1"/>
    <sheet name="Test Cases" sheetId="2" r:id="rId2"/>
    <sheet name="Test Statistics" sheetId="5" r:id="rId3"/>
    <sheet name="Woodworker Registration" sheetId="3" r:id="rId4"/>
    <sheet name="Customizaztion Service Booking" sheetId="12" r:id="rId5"/>
    <sheet name="Guarantee Service Booking" sheetId="8" r:id="rId6"/>
    <sheet name="Manage Post" sheetId="13" r:id="rId7"/>
    <sheet name="Authentication" sheetId="14" r:id="rId8"/>
  </sheets>
  <definedNames>
    <definedName name="_xlnm._FilterDatabase" localSheetId="4" hidden="1">'Customizaztion Service Booking'!$A$9:$L$16</definedName>
    <definedName name="_xlnm._FilterDatabase" localSheetId="5" hidden="1">'Guarantee Service Booking'!$A$9:$L$18</definedName>
    <definedName name="_xlnm._FilterDatabase" localSheetId="3" hidden="1">'Woodworker Registration'!$A$10:$O$15</definedName>
    <definedName name="ACTION" localSheetId="0">#REF!</definedName>
    <definedName name="A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D16" i="2"/>
  <c r="D15" i="2"/>
  <c r="D14" i="2"/>
  <c r="D13" i="2"/>
  <c r="H15" i="5"/>
  <c r="H14" i="5"/>
  <c r="E7" i="14"/>
  <c r="D7" i="14"/>
  <c r="C7" i="14"/>
  <c r="B7" i="14"/>
  <c r="E6" i="14"/>
  <c r="G15" i="5" s="1"/>
  <c r="D6" i="14"/>
  <c r="F15" i="5" s="1"/>
  <c r="C6" i="14"/>
  <c r="E15" i="5" s="1"/>
  <c r="B6" i="14"/>
  <c r="D15" i="5" s="1"/>
  <c r="E7" i="13"/>
  <c r="D7" i="13"/>
  <c r="C7" i="13"/>
  <c r="B7" i="13"/>
  <c r="E6" i="13"/>
  <c r="G14" i="5" s="1"/>
  <c r="G16" i="5" s="1"/>
  <c r="D6" i="13"/>
  <c r="F14" i="5" s="1"/>
  <c r="F16" i="5" s="1"/>
  <c r="C6" i="13"/>
  <c r="E14" i="5" s="1"/>
  <c r="E16" i="5" s="1"/>
  <c r="B6" i="13"/>
  <c r="D14" i="5" s="1"/>
  <c r="D16" i="5" s="1"/>
  <c r="E18" i="5" s="1"/>
  <c r="D12" i="2"/>
  <c r="C5" i="5"/>
  <c r="D11" i="2"/>
  <c r="D10" i="2"/>
  <c r="D9" i="2"/>
  <c r="H12" i="5"/>
  <c r="G12" i="5"/>
  <c r="F12" i="5"/>
  <c r="E12" i="5"/>
  <c r="D12" i="5"/>
  <c r="C12" i="5"/>
  <c r="B4" i="12"/>
  <c r="C7" i="8"/>
  <c r="D7" i="8"/>
  <c r="E7" i="8"/>
  <c r="B7" i="8"/>
  <c r="C7" i="12"/>
  <c r="D7" i="12"/>
  <c r="E7" i="12"/>
  <c r="B7" i="12"/>
  <c r="C8" i="3"/>
  <c r="D8" i="3"/>
  <c r="E8" i="3"/>
  <c r="C7" i="3"/>
  <c r="D7" i="3"/>
  <c r="E7" i="3"/>
  <c r="C6" i="3"/>
  <c r="D6" i="3"/>
  <c r="E6" i="3"/>
  <c r="B8" i="3"/>
  <c r="B7" i="3"/>
  <c r="B6" i="3"/>
  <c r="B6" i="9"/>
  <c r="E6" i="12"/>
  <c r="D6" i="12"/>
  <c r="C6" i="12"/>
  <c r="B6" i="12"/>
  <c r="C13" i="5"/>
  <c r="E6" i="8"/>
  <c r="G13" i="5" s="1"/>
  <c r="D6" i="8"/>
  <c r="F13" i="5" s="1"/>
  <c r="C6" i="8"/>
  <c r="E13" i="5" s="1"/>
  <c r="B6" i="8"/>
  <c r="D13" i="5" s="1"/>
  <c r="H13" i="5"/>
  <c r="E11" i="5"/>
  <c r="F11" i="5"/>
  <c r="G11" i="5"/>
  <c r="D11" i="5"/>
  <c r="C11" i="5" l="1"/>
  <c r="B4" i="3" l="1"/>
  <c r="H11" i="5" s="1"/>
  <c r="E1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9" authorId="0" shapeId="0" xr:uid="{658F3366-5A07-4977-A022-61134BF0D005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9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9" authorId="0" shapeId="0" xr:uid="{D4990E1B-F9D8-4C09-ADD1-68BC3AD08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9" authorId="0" shapeId="0" xr:uid="{62C112BF-F55F-4C92-BC69-8A20CB3BF46B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<sst xmlns="http://schemas.openxmlformats.org/spreadsheetml/2006/main" count="654" uniqueCount="301">
  <si>
    <t>TEST REPORT DOCUMENT</t>
  </si>
  <si>
    <t>Project Name</t>
  </si>
  <si>
    <t xml:space="preserve">Woodwork Design, Crafting &amp; Repair Booking Platform	</t>
  </si>
  <si>
    <t>Creator</t>
  </si>
  <si>
    <t>Group GSP48</t>
  </si>
  <si>
    <t>Project Code</t>
  </si>
  <si>
    <t>SP25SE026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</si>
  <si>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</si>
  <si>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</si>
  <si>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</si>
  <si>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</si>
  <si>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</si>
  <si>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</si>
  <si>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</si>
  <si>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</si>
  <si>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</si>
  <si>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</si>
  <si>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1</t>
  </si>
  <si>
    <t>A</t>
  </si>
  <si>
    <t>Init document</t>
  </si>
  <si>
    <t>Woodworker Registration sheet</t>
  </si>
  <si>
    <t>Add test cases for Woodworker Registration</t>
  </si>
  <si>
    <t>Guarantee Service Booking sheet</t>
  </si>
  <si>
    <t>Add test cases for Guarantee Service Booking</t>
  </si>
  <si>
    <t>Customization Service Booking sheet</t>
  </si>
  <si>
    <t>Add test cases for Customization Service Booking</t>
  </si>
  <si>
    <t>U</t>
  </si>
  <si>
    <t>Test round 2 for Guarantee Service Booking</t>
  </si>
  <si>
    <t>Test round 2 for Customization Service Booking</t>
  </si>
  <si>
    <t>TEST CASE LIST</t>
  </si>
  <si>
    <t>Test Environment Setup Description</t>
  </si>
  <si>
    <t>1. Server
2. Database
3. Web Browser
4. Mobile app</t>
  </si>
  <si>
    <t>No</t>
  </si>
  <si>
    <t>Function Name</t>
  </si>
  <si>
    <t>Sheet Name</t>
  </si>
  <si>
    <t>Description</t>
  </si>
  <si>
    <t>Pre-Condition</t>
  </si>
  <si>
    <t>Register function</t>
  </si>
  <si>
    <t>Customizaztion Service Booking</t>
  </si>
  <si>
    <t>Request guarantee order</t>
  </si>
  <si>
    <t>Accept guarantee order</t>
  </si>
  <si>
    <t>Create post</t>
  </si>
  <si>
    <t>Update post</t>
  </si>
  <si>
    <t>Login</t>
  </si>
  <si>
    <t>Register</t>
  </si>
  <si>
    <t>TEST STATISTICS</t>
  </si>
  <si>
    <t>Woodwork Design, Crafting &amp; Repair Booking Platform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</si>
  <si>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</si>
  <si>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</si>
  <si>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</si>
  <si>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</si>
  <si>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</si>
  <si>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</si>
  <si>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</si>
  <si>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</si>
  <si>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Manage Post</t>
  </si>
  <si>
    <t>Authentication</t>
  </si>
  <si>
    <t>Sub total</t>
  </si>
  <si>
    <t>Test coverage</t>
  </si>
  <si>
    <t>%</t>
  </si>
  <si>
    <t>Test successful coverage</t>
  </si>
  <si>
    <t>Feature</t>
  </si>
  <si>
    <t>Woodworker Registration</t>
  </si>
  <si>
    <t>Test requirement</t>
  </si>
  <si>
    <t>Guest register to become a woodworker to access to the platform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</si>
  <si>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</si>
  <si>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</si>
  <si>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</si>
  <si>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</si>
  <si>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</si>
  <si>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</si>
  <si>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</si>
  <si>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</si>
  <si>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</si>
  <si>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</si>
  <si>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</si>
  <si>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</si>
  <si>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</si>
  <si>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TC-01</t>
  </si>
  <si>
    <t xml:space="preserve">Verify the registration form loads correctly	</t>
  </si>
  <si>
    <t>1. Navigate to the woodworker registration page
2. Verify all input fields and buttons are visible</t>
  </si>
  <si>
    <t>All required fields, dropdowns, image upload area, and "Register" button should be displayed</t>
  </si>
  <si>
    <t>User is not logged in</t>
  </si>
  <si>
    <t>An</t>
  </si>
  <si>
    <t>TC-02</t>
  </si>
  <si>
    <t xml:space="preserve">Submit the form with all fields empty	</t>
  </si>
  <si>
    <t>1. Open the registration form
2. Click the "Register" button without entering any data</t>
  </si>
  <si>
    <t xml:space="preserve">Validation errors should appear under all required fields	</t>
  </si>
  <si>
    <t>None</t>
  </si>
  <si>
    <t>TC-03</t>
  </si>
  <si>
    <t xml:space="preserve">Submit form with an invalid email	</t>
  </si>
  <si>
    <t>1. Fill in all fields with valid data except email
2. Enter "abc@com" as email
3. Click "Register"</t>
  </si>
  <si>
    <t xml:space="preserve">Email field should show a validation error for incorrect format	</t>
  </si>
  <si>
    <t>TC-04</t>
  </si>
  <si>
    <t xml:space="preserve">	Submit the form with a required field missing</t>
  </si>
  <si>
    <t>1. Fill all fields except "Woodshop Name"
2. Click "Register"</t>
  </si>
  <si>
    <t xml:space="preserve">Validation error should appear under the "Woodshop Name" field	</t>
  </si>
  <si>
    <t>TC-05</t>
  </si>
  <si>
    <t xml:space="preserve">Upload an image in an invalid format	</t>
  </si>
  <si>
    <t>1. Fill in the form
2. Upload a .exe file as shop image</t>
  </si>
  <si>
    <t>Error should appear prompting valid formats (JPG, JPEG, PNG, GIF only)</t>
  </si>
  <si>
    <t>TC-06</t>
  </si>
  <si>
    <t xml:space="preserve">Upload an image exceeding the size limit	</t>
  </si>
  <si>
    <t xml:space="preserve">1. Upload an image larger than 5MB	</t>
  </si>
  <si>
    <t xml:space="preserve">Error message should be shown stating file size limit	</t>
  </si>
  <si>
    <t>TC-07</t>
  </si>
  <si>
    <t xml:space="preserve">Successfully submit the form	</t>
  </si>
  <si>
    <t>1. Fill in all required fields with valid data
2. Tick the confirmation checkbox
3. Upload a valid image
4. Click "Register"</t>
  </si>
  <si>
    <t xml:space="preserve">Registration should be successful. A success message or redirect should occur	</t>
  </si>
  <si>
    <t xml:space="preserve">Validate all error handling and form validation for customization booking: invalid dates, empty fields, wrong formats, and invalid uploads	</t>
  </si>
  <si>
    <t>Enter past date in consultation appointment form</t>
  </si>
  <si>
    <t>1. Click 'Cập nhật lịch hẹn tư vấn về hợp đồng'
2. Enter a past date
3. Click 'Cập nhật'</t>
  </si>
  <si>
    <t>System displays error message: 'Ngày hẹn không được ở quá khứ'</t>
  </si>
  <si>
    <t>Order is placed</t>
  </si>
  <si>
    <t>Phúc</t>
  </si>
  <si>
    <t>Form validation on date field</t>
  </si>
  <si>
    <t>Submit contract without signing</t>
  </si>
  <si>
    <t>1. Click 'Soạn hợp đồng'
2. Fill in required fields
3. Do not sign
4. Click 'Cập nhật'</t>
  </si>
  <si>
    <t>System prompts: 'Vui lòng ký vào hợp đồng'</t>
  </si>
  <si>
    <t>Appointment confirmed</t>
  </si>
  <si>
    <t>Signature is required</t>
  </si>
  <si>
    <t>Enter invalid phone number in order form</t>
  </si>
  <si>
    <t>1. Proceed to checkout
2. Enter 'abc123' in phone field
3. Click 'Tiến hành đặt hàng'</t>
  </si>
  <si>
    <t>System shows validation error for phone number</t>
  </si>
  <si>
    <t>Product is in cart</t>
  </si>
  <si>
    <t>Field format validation</t>
  </si>
  <si>
    <t>Set product quantity to negative number in cart</t>
  </si>
  <si>
    <t>1. Open cart
2. Change quantity to -1
3. Try to proceed to checkout</t>
  </si>
  <si>
    <t>System resets quantity to 1 or shows error message</t>
  </si>
  <si>
    <t>Cart has at least one item</t>
  </si>
  <si>
    <t>Quantity input validation</t>
  </si>
  <si>
    <t>Leave all required fields blank in order form</t>
  </si>
  <si>
    <t>1. Proceed to checkout
2. Leave name, address, phone empty
3. Click 'Tiến hành đặt hàng'</t>
  </si>
  <si>
    <t>System shows required field validation messages</t>
  </si>
  <si>
    <t>User is logged in and product is in cart</t>
  </si>
  <si>
    <t>Required field validation</t>
  </si>
  <si>
    <t>Upload invalid file format for product image</t>
  </si>
  <si>
    <t>1. Click 'Cập nhật ảnh hoàn thiện và giao hàng'
2. Upload a .exe file
3. Click 'Cập nhật'</t>
  </si>
  <si>
    <t>System shows error: 'Chỉ cho phép định dạng ảnh (.jpg, .png)'</t>
  </si>
  <si>
    <t>Order is confirmed and ready for delivery update</t>
  </si>
  <si>
    <t>File type validation</t>
  </si>
  <si>
    <t>Try to checkout with empty cart</t>
  </si>
  <si>
    <t>1. Navigate to cart page
2. Click 'Tiến hành đặt hàng'</t>
  </si>
  <si>
    <t>System blocks checkout and shows message: 'Giỏ hàng trống'</t>
  </si>
  <si>
    <t>No items in the cart</t>
  </si>
  <si>
    <t>Cart validation</t>
  </si>
  <si>
    <t>TC-08</t>
  </si>
  <si>
    <t>Enter special characters in name field</t>
  </si>
  <si>
    <t>1. Go to checkout form
2. Enter '!@#$%' in name field
3. Click 'Tiến hành đặt hàng'</t>
  </si>
  <si>
    <t>System displays validation error: 'Tên không hợp lệ'</t>
  </si>
  <si>
    <t>User is logged in and has item in cart</t>
  </si>
  <si>
    <t>Input sanitization</t>
  </si>
  <si>
    <t>TC-09</t>
  </si>
  <si>
    <t>Try to sign contract but leave signature box empty</t>
  </si>
  <si>
    <t>1. Open contract form
2. Fill other fields
3. Leave signature box empty
4. Click 'Xác nhận hợp đồng'</t>
  </si>
  <si>
    <t>System prompts user to sign the contract</t>
  </si>
  <si>
    <t>Contract available for confirmation</t>
  </si>
  <si>
    <t>Signature enforcement</t>
  </si>
  <si>
    <t>TC-10</t>
  </si>
  <si>
    <t>Upload image larger than allowed file size</t>
  </si>
  <si>
    <t>1. Click 'Cập nhật ảnh hoàn thiện và giao hàng'
2. Upload image &gt; 10MB
3. Click 'Cập nhật'</t>
  </si>
  <si>
    <t>System shows error: 'Dung lượng ảnh vượt quá giới hạn (10MB)'</t>
  </si>
  <si>
    <t>Woodworker is ready to upload finished product image</t>
  </si>
  <si>
    <t>File size validation</t>
  </si>
  <si>
    <t>Guarantee Service Booking</t>
  </si>
  <si>
    <t>End-to-end testing of the guarantee service booking flow: from when the customer submits a warranty request, schedules a consultation appointment</t>
  </si>
  <si>
    <t>Request order</t>
  </si>
  <si>
    <t>RGO-01</t>
  </si>
  <si>
    <t>Submit a valid guarantee request (no installation)</t>
  </si>
  <si>
    <t>1. Login as Customer
2. Go to Guarantee page
3. Select a completed order from the “Choose order” dropdown
4. Click Choose product, pick a product still under warranty
5. Verify address auto-fills correctly
6. Leave “Delivery &amp; installation” unchecked
7. Enter notes: “Handle with care”
8. Click Submit guarantee request</t>
  </si>
  <si>
    <t>• Success message “Your request was submitted” appears
• New guarantee order record created with correct shipping fee &amp; address
• Order status moves to Awaiting workshop confirmation</t>
  </si>
  <si>
    <t>• Customer account exists
• At least one completed order with a product under warranty</t>
  </si>
  <si>
    <t>Luân</t>
  </si>
  <si>
    <t>RGO-02</t>
  </si>
  <si>
    <t>Submit a valid guarantee request (with installation)</t>
  </si>
  <si>
    <t>1–5 same as RGO-01
6. Check “Delivery &amp; installation”
7. Verify installation fee added to total
8. Enter notes “Include installation”
9. Click Submit guarantee request</t>
  </si>
  <si>
    <t>• Success message appears
• Guarantee record shows both shipping + installation fees correctly
• Status = Awaiting workshop confirmation</t>
  </si>
  <si>
    <t>• Customer has a completed order
• Installation option available</t>
  </si>
  <si>
    <t>The isInstall field hasn’t been updated in the database at the first round</t>
  </si>
  <si>
    <t>RGO-03</t>
  </si>
  <si>
    <t>Attempt to submit without selecting an order</t>
  </si>
  <si>
    <t>1. Login as Customer
2. Go to Guarantee page
3. Leave “Choose order” at default
4. Try to click Submit guarantee request</t>
  </si>
  <si>
    <t>• Submit button remains disabled or an inline error “Please select an order” is shown</t>
  </si>
  <si>
    <t>• Customer is logged in</t>
  </si>
  <si>
    <t>RGO-04</t>
  </si>
  <si>
    <t xml:space="preserve">Attempt to request guarantee for an out-of-warranty product	</t>
  </si>
  <si>
    <t>1. Login as Customer
2. Go to Guarantee page
3. Select a completed order with a product whose warranty expired
4. Click Choose product, pick a product  has end warranty</t>
  </si>
  <si>
    <t>The form change to "Repair" and the button text change to "Yêu cầu sửa chữa"</t>
  </si>
  <si>
    <t>• Customer has at least one completed order with an expired-warranty product</t>
  </si>
  <si>
    <t>RGO-05</t>
  </si>
  <si>
    <t>Submit a guarantee request without notes</t>
  </si>
  <si>
    <t>1–6 same as RGO-01
7. Clear the notes field
8. Click Submit guarantee request</t>
  </si>
  <si>
    <t>• Success message appears
• Notes field in the new record is blank
• Status = Awaiting workshop confirmation</t>
  </si>
  <si>
    <t>• Customer has valid completed order</t>
  </si>
  <si>
    <t>AGO-01</t>
  </si>
  <si>
    <t>Accept a free-warranty guarantee request</t>
  </si>
  <si>
    <t>1. Login as Woodworker
2. Go to BH &amp; Sửa chữa &gt; open guarantee order details
3. Click Accept free warranty
4. In confirmation modal, check “Tôi xác nhận...”
5. Click Confirm</t>
  </si>
  <si>
    <t>• Success toast “Warranty accepted”
• Order status changes to Awaiting customer pickup (or equivalent)</t>
  </si>
  <si>
    <t>• There is a pending guarantee order
• Status = Awaiting workshop confirmation</t>
  </si>
  <si>
    <t>AGO-02</t>
  </si>
  <si>
    <t xml:space="preserve">Attempt to accept without ticking the confirmation checkbox	</t>
  </si>
  <si>
    <t>1–3 same as AGO-01
4. Leave the “Tôi xác nhận…” checkbox unchecked
5. Try to click Confirm</t>
  </si>
  <si>
    <t>• Confirm button remains disabled or inline error “Please verify information”</t>
  </si>
  <si>
    <t>• There is at least one pending guarantee order awaiting acceptance</t>
  </si>
  <si>
    <t>Manage post</t>
  </si>
  <si>
    <t>End-to-end testing of the manage post feature</t>
  </si>
  <si>
    <t>CreatePost</t>
  </si>
  <si>
    <t>CP-01</t>
  </si>
  <si>
    <t xml:space="preserve">Create a post with all valid inputs	</t>
  </si>
  <si>
    <t>1. Login as Woodworker
2. Go to Manage Posts
3. Click + Add New Post
4. Enter Title = “My Sample Post”
5. Enter Description = “This is a test description.”
6. Upload 3 valid images (JPG, &lt;5 MB each)
7. Check “I have verified…”
8. Click Save</t>
  </si>
  <si>
    <t>• Success toast “Post created”
• Modal closes
• New row appears in posts list with correct Title/Date</t>
  </si>
  <si>
    <t>• Woodworker is logged in
• At least one workspace available</t>
  </si>
  <si>
    <t>Nam</t>
  </si>
  <si>
    <t>CP-02</t>
  </si>
  <si>
    <t xml:space="preserve">Attempt to create without Title	</t>
  </si>
  <si>
    <t>1–3 same as CP-01
4. Leave Title empty
5. Fill Description and upload one image
6. Check confirm and click Save</t>
  </si>
  <si>
    <t>• Inline validation under Title: “Please fill out this field.”
• Modal remains open
• No new post created</t>
  </si>
  <si>
    <t xml:space="preserve">• In CreatePost modal	</t>
  </si>
  <si>
    <t xml:space="preserve">CP-03	</t>
  </si>
  <si>
    <t xml:space="preserve">Attempt to upload unsupported file type	</t>
  </si>
  <si>
    <t>1–5 same as CP-01
6. Try to upload a .txt file
7. Check confirm and click Save</t>
  </si>
  <si>
    <t>• Validation message “Unsupported file type” shown
• .txt file not accepted
• Can still upload valid image
• Cannot submit until image field valid</t>
  </si>
  <si>
    <t xml:space="preserve">• CreatePost modal open	</t>
  </si>
  <si>
    <t xml:space="preserve">CP-04	</t>
  </si>
  <si>
    <t xml:space="preserve">Attempt to upload more than 4 images	</t>
  </si>
  <si>
    <t>1–5 same as CP-01
6. Select 5 images (all valid types)
7. Check confirm and click Save</t>
  </si>
  <si>
    <t>• Inline error “You can upload up to 4 images”
• Only first 4 images accepted
• Cannot save until count ≤ 4</t>
  </si>
  <si>
    <t xml:space="preserve">CP-05	</t>
  </si>
  <si>
    <t xml:space="preserve">Cancel CreatePost action	</t>
  </si>
  <si>
    <t>1–5 same as CP-01
6. Click Close (X) or Cancel instead of Save</t>
  </si>
  <si>
    <t>• Modal closes
• No new row added
• No draft saved</t>
  </si>
  <si>
    <t>UpdatePost</t>
  </si>
  <si>
    <t xml:space="preserve">UP-01	</t>
  </si>
  <si>
    <t xml:space="preserve">Update Title and Description successfully	</t>
  </si>
  <si>
    <t>1. Login as Woodworker
2. Go to Manage Posts
3. Click ✏️ on existing post
4. Change Title to “Updated Title”
5. Change Description
6. Check confirm box
7. Click Save</t>
  </si>
  <si>
    <t>• Success toast “Post updated”
• Modal closes
• List shows updated Title and truncated Description</t>
  </si>
  <si>
    <t>• At least one post exists in list</t>
  </si>
  <si>
    <t xml:space="preserve">UP-02	</t>
  </si>
  <si>
    <t xml:space="preserve">Replace existing image	</t>
  </si>
  <si>
    <t xml:space="preserve">	1–3 same as UP-01
4. In modal, remove one image
5. Upload a different valid image
6. Check confirm and Save</t>
  </si>
  <si>
    <t>• Old image removed, new image shown in edit form
• After save, list thumbnail reflects new image</t>
  </si>
  <si>
    <t>• Original post has ≥ 1 image</t>
  </si>
  <si>
    <t xml:space="preserve">UP-03	</t>
  </si>
  <si>
    <t xml:space="preserve">Attempt to remove all images (invalid)	</t>
  </si>
  <si>
    <t>1–3 same as UP-01
4. Remove all uploaded images
5. Check confirm and Save</t>
  </si>
  <si>
    <t>• Inline error “At least one image is required”
• Save button disabled
• Modal remains open</t>
  </si>
  <si>
    <t>• Post with exactly 1 image</t>
  </si>
  <si>
    <t xml:space="preserve">UP-04	</t>
  </si>
  <si>
    <t xml:space="preserve">Attempt to update without checking confirmation checkbox	</t>
  </si>
  <si>
    <t>1–6 same as UP-01
7. Leave “I have verified…” unchecked
8. Click Save</t>
  </si>
  <si>
    <t>• Save button remains disabled or inline error “Please confirm information”</t>
  </si>
  <si>
    <t>• In UpdatePost modal</t>
  </si>
  <si>
    <t xml:space="preserve">UP-05	</t>
  </si>
  <si>
    <t xml:space="preserve">Cancel UpdatePost action	</t>
  </si>
  <si>
    <t>1–3 same as UP-01
4. Click Close (X) instead of Save</t>
  </si>
  <si>
    <t>• Modal closes
• No changes applied</t>
  </si>
  <si>
    <t>End-to-end testing of the authentication feature</t>
  </si>
  <si>
    <t xml:space="preserve">LOG-01	</t>
  </si>
  <si>
    <t xml:space="preserve">Successful login with correct email &amp; password	</t>
  </si>
  <si>
    <t>1. Go to Login page
2. Enter Email / Phone = “jane@example.com”
3. Enter Password = “P@ssw0rd123”
4. Click Login</t>
  </si>
  <si>
    <t>• Redirect to user dashboard
• JWT token set in cookie/localStorage
• User’s avatar appears in header</t>
  </si>
  <si>
    <t>• User “jane@example.com” exists with that password</t>
  </si>
  <si>
    <t>LOG-02</t>
  </si>
  <si>
    <t xml:space="preserve">Fail login with wrong password	</t>
  </si>
  <si>
    <t>1–3 same as LOG-01
3. Enter Password = “Wrong123”
4. Click Login</t>
  </si>
  <si>
    <t>• Error toast “Invalid credentials”
• Login form remains
• No token stored</t>
  </si>
  <si>
    <t>• User “jane@example.com” exists</t>
  </si>
  <si>
    <t>LOG-03</t>
  </si>
  <si>
    <t>Fail login with empty fields</t>
  </si>
  <si>
    <t>1. Go to Login page
2. Leave both fields empty
3. Click Login</t>
  </si>
  <si>
    <t>• Inline errors “This field is required” for both inputs
• Login button disabled</t>
  </si>
  <si>
    <t xml:space="preserve">LOG-04	</t>
  </si>
  <si>
    <t>Successful login via Email OTP</t>
  </si>
  <si>
    <t>1. Go to Login page
2. Switch to Email OTP method
3. Enter Email = “jane@example.com”
4. Click Send OTP
5. Receive OTP in email
6. Enter OTP into field
7. Click Login</t>
  </si>
  <si>
    <t>• Redirect to dashboard
• Toast “Login successful”
• OTP session invalidated after use</t>
  </si>
  <si>
    <t>• User “jane@example.com” exists
• Email service reachable</t>
  </si>
  <si>
    <t xml:space="preserve">LOG-05	</t>
  </si>
  <si>
    <t xml:space="preserve">Fail OTP login with incorrect or expired code	</t>
  </si>
  <si>
    <t>1–4 same as LOG-04
5. Enter OTP = “000000” or a past-expiry code
6. Click Login</t>
  </si>
  <si>
    <t>• Inline error under OTP: “Invalid or expired code”
• Login form remains
• Must request new OTP</t>
  </si>
  <si>
    <t xml:space="preserve">• OTP login initiated	</t>
  </si>
  <si>
    <t xml:space="preserve">REG-01	</t>
  </si>
  <si>
    <t xml:space="preserve">Successful signup with valid data	</t>
  </si>
  <si>
    <t>1. Go to Register page
2. Enter Name = “Jane Wood”
3. Enter Email = “jane@example.com”
4. Enter Password = “P@ssw0rd123”
5. Enter Confirm password = “P@ssw0rd123”
6. Enter Phone = “+84901234567”
7. Click Register</t>
  </si>
  <si>
    <t>• Redirect to “Verify Account” or Login page
• Toast “Registration successful – check your email”
• New user record created in DB with role=Customer</t>
  </si>
  <si>
    <t xml:space="preserve">REG-02	</t>
  </si>
  <si>
    <t xml:space="preserve">Fail signup when passwords don’t match	</t>
  </si>
  <si>
    <t>1–4 same as REG-01
5. Enter Confirm password = “WrongPass”
6. Fill remaining fields
7. Click Register</t>
  </si>
  <si>
    <t>• Inline error under Confirm password: “Passwords must match”
• Register button disabled
• No user created</t>
  </si>
  <si>
    <t xml:space="preserve">REG-03	</t>
  </si>
  <si>
    <t xml:space="preserve">Fail signup with empty required fields	</t>
  </si>
  <si>
    <t>1. Go to Register page
2. Leave Name, Email, Password, Confirm password, Phone empty
3. Click Register</t>
  </si>
  <si>
    <t>• Inline validation on each field: “This field is required”
• No navigation
• No API call</t>
  </si>
  <si>
    <t xml:space="preserve">REG-04	</t>
  </si>
  <si>
    <t xml:space="preserve">Fail signup with invalid email format	</t>
  </si>
  <si>
    <t>1–2 same as REG-01
3. Enter Email = “jane#mail”
4. Fill other fields with valid values
5. Click Register</t>
  </si>
  <si>
    <t>• Inline error on Email: “Enter a valid email address”
• Register button disabled
• No user record</t>
  </si>
  <si>
    <t xml:space="preserve">REG-05	</t>
  </si>
  <si>
    <t xml:space="preserve">Fail signup with phone not matching +84 regex	</t>
  </si>
  <si>
    <t>1–2 same as REG-01
6. Enter Phone = “091234” (too short)
7. Fill other fields correctly
8. Click Register</t>
  </si>
  <si>
    <t>• Inline error on Phone: “Enter a valid +84 phone number”
• Register button disabled
• No user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</si>
</sst>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8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00"/>
      <name val="Tahoma"/>
    </font>
    <font>
      <sz val="10"/>
      <name val="Tahoma"/>
    </font>
    <font>
      <sz val="10"/>
      <color rgb="FF000000"/>
      <name val="Tahoma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74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 applyBorder="1" applyAlignment="1"/>
    <xf numFmtId="0" fontId="2" fillId="2" borderId="0" xfId="0" applyFont="1" applyFill="1" applyBorder="1" applyAlignment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 applyAlignment="1"/>
    <xf numFmtId="0" fontId="2" fillId="2" borderId="0" xfId="0" applyFont="1" applyFill="1" applyAlignment="1" applyProtection="1">
      <alignment wrapText="1"/>
    </xf>
    <xf numFmtId="0" fontId="2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wrapText="1"/>
    </xf>
    <xf numFmtId="0" fontId="9" fillId="2" borderId="0" xfId="3" applyFont="1" applyFill="1" applyBorder="1" applyAlignment="1">
      <alignment horizontal="center" vertical="center" wrapText="1"/>
    </xf>
    <xf numFmtId="0" fontId="9" fillId="2" borderId="0" xfId="3" applyFont="1" applyFill="1" applyBorder="1" applyAlignment="1">
      <alignment horizontal="left" vertical="center"/>
    </xf>
    <xf numFmtId="0" fontId="13" fillId="2" borderId="0" xfId="0" applyFont="1" applyFill="1" applyBorder="1" applyAlignment="1">
      <alignment vertical="top" wrapText="1"/>
    </xf>
    <xf numFmtId="0" fontId="13" fillId="2" borderId="0" xfId="0" applyFont="1" applyFill="1" applyBorder="1"/>
    <xf numFmtId="0" fontId="10" fillId="2" borderId="0" xfId="2" applyFont="1" applyFill="1" applyBorder="1"/>
    <xf numFmtId="0" fontId="2" fillId="2" borderId="0" xfId="2" applyFont="1" applyFill="1" applyBorder="1"/>
    <xf numFmtId="164" fontId="2" fillId="2" borderId="0" xfId="2" applyNumberFormat="1" applyFont="1" applyFill="1" applyBorder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16" fillId="2" borderId="0" xfId="0" applyNumberFormat="1" applyFont="1" applyFill="1" applyBorder="1" applyAlignment="1">
      <alignment horizontal="right" wrapText="1"/>
    </xf>
    <xf numFmtId="0" fontId="6" fillId="2" borderId="0" xfId="3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6" fillId="2" borderId="0" xfId="3" applyFont="1" applyFill="1" applyBorder="1" applyAlignment="1">
      <alignment wrapText="1"/>
    </xf>
    <xf numFmtId="0" fontId="7" fillId="6" borderId="15" xfId="3" applyFont="1" applyFill="1" applyBorder="1" applyAlignment="1">
      <alignment horizontal="center" vertical="center" wrapText="1"/>
    </xf>
    <xf numFmtId="0" fontId="18" fillId="2" borderId="15" xfId="3" applyFont="1" applyFill="1" applyBorder="1" applyAlignment="1">
      <alignment horizontal="center" vertical="top" wrapText="1"/>
    </xf>
    <xf numFmtId="0" fontId="2" fillId="2" borderId="15" xfId="3" applyFont="1" applyFill="1" applyBorder="1" applyAlignment="1">
      <alignment horizontal="center" vertical="top" wrapText="1"/>
    </xf>
    <xf numFmtId="0" fontId="18" fillId="2" borderId="19" xfId="3" applyFont="1" applyFill="1" applyBorder="1" applyAlignment="1">
      <alignment horizontal="center" vertical="top" wrapText="1"/>
    </xf>
    <xf numFmtId="0" fontId="18" fillId="2" borderId="20" xfId="3" applyFont="1" applyFill="1" applyBorder="1" applyAlignment="1">
      <alignment horizontal="center" vertical="top" wrapText="1"/>
    </xf>
    <xf numFmtId="0" fontId="18" fillId="2" borderId="21" xfId="3" applyFont="1" applyFill="1" applyBorder="1" applyAlignment="1">
      <alignment horizontal="center" vertical="top" wrapText="1"/>
    </xf>
    <xf numFmtId="0" fontId="2" fillId="2" borderId="22" xfId="3" applyFont="1" applyFill="1" applyBorder="1" applyAlignment="1">
      <alignment horizontal="center" vertical="top" wrapText="1"/>
    </xf>
    <xf numFmtId="0" fontId="10" fillId="2" borderId="16" xfId="3" applyFont="1" applyFill="1" applyBorder="1" applyAlignment="1">
      <alignment horizontal="center" vertical="top" wrapText="1"/>
    </xf>
    <xf numFmtId="0" fontId="10" fillId="2" borderId="19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0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0" fontId="2" fillId="0" borderId="8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14" fontId="2" fillId="2" borderId="1" xfId="3" applyNumberFormat="1" applyFont="1" applyFill="1" applyBorder="1" applyAlignment="1">
      <alignment vertical="top" wrapText="1"/>
    </xf>
    <xf numFmtId="14" fontId="21" fillId="0" borderId="2" xfId="5" applyNumberFormat="1" applyFont="1" applyBorder="1"/>
    <xf numFmtId="0" fontId="21" fillId="0" borderId="2" xfId="5" quotePrefix="1" applyFont="1" applyBorder="1" applyAlignment="1">
      <alignment horizontal="left" indent="1"/>
    </xf>
    <xf numFmtId="14" fontId="21" fillId="0" borderId="6" xfId="5" applyNumberFormat="1" applyFont="1" applyBorder="1" applyAlignment="1">
      <alignment vertical="top" wrapText="1"/>
    </xf>
    <xf numFmtId="0" fontId="2" fillId="0" borderId="7" xfId="5" applyFont="1" applyBorder="1" applyAlignment="1">
      <alignment vertical="top" wrapText="1"/>
    </xf>
    <xf numFmtId="0" fontId="7" fillId="6" borderId="23" xfId="3" applyFont="1" applyFill="1" applyBorder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2" fillId="2" borderId="23" xfId="3" applyFont="1" applyFill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0" fontId="24" fillId="0" borderId="23" xfId="0" applyFont="1" applyBorder="1" applyAlignment="1">
      <alignment vertical="top"/>
    </xf>
    <xf numFmtId="14" fontId="2" fillId="2" borderId="23" xfId="3" applyNumberFormat="1" applyFont="1" applyFill="1" applyBorder="1" applyAlignment="1">
      <alignment vertical="top" wrapText="1"/>
    </xf>
    <xf numFmtId="0" fontId="2" fillId="2" borderId="23" xfId="0" applyFont="1" applyFill="1" applyBorder="1" applyAlignment="1">
      <alignment vertical="top" wrapText="1"/>
    </xf>
    <xf numFmtId="0" fontId="25" fillId="0" borderId="23" xfId="0" applyFont="1" applyBorder="1" applyAlignment="1">
      <alignment wrapText="1"/>
    </xf>
    <xf numFmtId="0" fontId="14" fillId="2" borderId="23" xfId="0" applyFont="1" applyFill="1" applyBorder="1" applyAlignment="1">
      <alignment horizontal="left" vertical="top" wrapText="1"/>
    </xf>
    <xf numFmtId="0" fontId="2" fillId="2" borderId="23" xfId="0" applyFont="1" applyFill="1" applyBorder="1" applyAlignment="1"/>
    <xf numFmtId="0" fontId="2" fillId="2" borderId="23" xfId="0" applyFont="1" applyFill="1" applyBorder="1"/>
    <xf numFmtId="0" fontId="10" fillId="2" borderId="16" xfId="3" applyFont="1" applyFill="1" applyBorder="1" applyAlignment="1">
      <alignment horizontal="center" vertical="center" wrapText="1"/>
    </xf>
    <xf numFmtId="0" fontId="10" fillId="2" borderId="19" xfId="3" applyFont="1" applyFill="1" applyBorder="1" applyAlignment="1">
      <alignment horizontal="center" vertical="center" wrapText="1"/>
    </xf>
    <xf numFmtId="0" fontId="18" fillId="2" borderId="19" xfId="3" applyFont="1" applyFill="1" applyBorder="1" applyAlignment="1">
      <alignment horizontal="center" vertical="center" wrapText="1"/>
    </xf>
    <xf numFmtId="0" fontId="18" fillId="2" borderId="15" xfId="3" applyFont="1" applyFill="1" applyBorder="1" applyAlignment="1">
      <alignment horizontal="center" vertical="center" wrapText="1"/>
    </xf>
    <xf numFmtId="0" fontId="2" fillId="2" borderId="15" xfId="3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6" fillId="2" borderId="0" xfId="3" applyFont="1" applyFill="1" applyBorder="1" applyAlignment="1">
      <alignment vertical="center" wrapText="1"/>
    </xf>
    <xf numFmtId="0" fontId="6" fillId="2" borderId="0" xfId="3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vertical="center" wrapText="1"/>
    </xf>
    <xf numFmtId="0" fontId="18" fillId="2" borderId="20" xfId="3" applyFont="1" applyFill="1" applyBorder="1" applyAlignment="1">
      <alignment horizontal="center" vertical="center" wrapText="1"/>
    </xf>
    <xf numFmtId="0" fontId="2" fillId="2" borderId="20" xfId="3" applyFont="1" applyFill="1" applyBorder="1" applyAlignment="1">
      <alignment horizontal="center" vertical="center" wrapText="1"/>
    </xf>
    <xf numFmtId="49" fontId="2" fillId="2" borderId="7" xfId="0" quotePrefix="1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2" fillId="2" borderId="23" xfId="3" applyFont="1" applyFill="1" applyBorder="1" applyAlignment="1">
      <alignment vertical="center" wrapText="1"/>
    </xf>
    <xf numFmtId="14" fontId="2" fillId="2" borderId="23" xfId="3" applyNumberFormat="1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6" fillId="2" borderId="23" xfId="3" applyFont="1" applyFill="1" applyBorder="1" applyAlignment="1">
      <alignment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7" fillId="0" borderId="23" xfId="0" applyFont="1" applyFill="1" applyBorder="1" applyAlignment="1">
      <alignment horizontal="left" vertical="center"/>
    </xf>
    <xf numFmtId="0" fontId="27" fillId="0" borderId="23" xfId="0" applyFont="1" applyFill="1" applyBorder="1" applyAlignment="1">
      <alignment horizontal="left" vertical="center" wrapText="1"/>
    </xf>
    <xf numFmtId="14" fontId="27" fillId="0" borderId="23" xfId="0" applyNumberFormat="1" applyFont="1" applyFill="1" applyBorder="1" applyAlignment="1">
      <alignment horizontal="left" vertical="center"/>
    </xf>
    <xf numFmtId="0" fontId="7" fillId="3" borderId="23" xfId="0" applyNumberFormat="1" applyFont="1" applyFill="1" applyBorder="1" applyAlignment="1">
      <alignment horizontal="center" vertical="center"/>
    </xf>
    <xf numFmtId="0" fontId="7" fillId="3" borderId="23" xfId="0" applyNumberFormat="1" applyFont="1" applyFill="1" applyBorder="1" applyAlignment="1">
      <alignment horizontal="center" vertical="center" wrapText="1"/>
    </xf>
    <xf numFmtId="0" fontId="2" fillId="2" borderId="23" xfId="0" applyNumberFormat="1" applyFont="1" applyFill="1" applyBorder="1" applyAlignment="1">
      <alignment horizontal="center" vertical="center"/>
    </xf>
    <xf numFmtId="0" fontId="15" fillId="3" borderId="23" xfId="0" applyNumberFormat="1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13" fillId="2" borderId="0" xfId="3" applyFont="1" applyFill="1" applyBorder="1" applyAlignment="1">
      <alignment horizontal="left" vertical="center"/>
    </xf>
    <xf numFmtId="0" fontId="26" fillId="0" borderId="23" xfId="0" applyFont="1" applyBorder="1" applyAlignment="1">
      <alignment vertical="center"/>
    </xf>
    <xf numFmtId="0" fontId="2" fillId="5" borderId="24" xfId="3" applyFont="1" applyFill="1" applyBorder="1" applyAlignment="1">
      <alignment horizontal="left" vertical="center" wrapText="1"/>
    </xf>
    <xf numFmtId="0" fontId="2" fillId="5" borderId="0" xfId="3" applyFont="1" applyFill="1" applyBorder="1" applyAlignment="1">
      <alignment horizontal="left" vertical="center" wrapText="1"/>
    </xf>
    <xf numFmtId="0" fontId="2" fillId="5" borderId="25" xfId="3" applyFont="1" applyFill="1" applyBorder="1" applyAlignment="1">
      <alignment horizontal="left" vertical="center" wrapText="1"/>
    </xf>
    <xf numFmtId="0" fontId="0" fillId="0" borderId="23" xfId="0" applyFont="1" applyBorder="1" applyAlignment="1">
      <alignment vertical="center" wrapText="1"/>
    </xf>
    <xf numFmtId="0" fontId="2" fillId="5" borderId="12" xfId="3" applyFont="1" applyFill="1" applyBorder="1" applyAlignment="1">
      <alignment horizontal="left" vertical="center" wrapText="1"/>
    </xf>
    <xf numFmtId="0" fontId="2" fillId="5" borderId="13" xfId="3" applyFont="1" applyFill="1" applyBorder="1" applyAlignment="1">
      <alignment horizontal="left" vertical="center" wrapText="1"/>
    </xf>
    <xf numFmtId="0" fontId="2" fillId="5" borderId="14" xfId="3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4" fillId="0" borderId="1" xfId="5" applyFont="1" applyBorder="1" applyAlignment="1">
      <alignment horizontal="center" vertical="center"/>
    </xf>
    <xf numFmtId="0" fontId="21" fillId="0" borderId="10" xfId="5" applyFont="1" applyBorder="1" applyAlignment="1">
      <alignment horizontal="left"/>
    </xf>
    <xf numFmtId="0" fontId="21" fillId="0" borderId="11" xfId="5" applyFont="1" applyBorder="1" applyAlignment="1">
      <alignment horizontal="left"/>
    </xf>
    <xf numFmtId="0" fontId="21" fillId="0" borderId="2" xfId="5" applyFont="1" applyBorder="1" applyAlignment="1">
      <alignment horizontal="left"/>
    </xf>
    <xf numFmtId="0" fontId="21" fillId="0" borderId="1" xfId="5" applyFont="1" applyBorder="1" applyAlignment="1">
      <alignment horizontal="left"/>
    </xf>
    <xf numFmtId="0" fontId="21" fillId="0" borderId="10" xfId="5" applyFont="1" applyBorder="1" applyAlignment="1">
      <alignment horizontal="left" vertical="center"/>
    </xf>
    <xf numFmtId="0" fontId="21" fillId="0" borderId="11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1" fontId="5" fillId="2" borderId="10" xfId="0" applyNumberFormat="1" applyFont="1" applyFill="1" applyBorder="1" applyAlignment="1"/>
    <xf numFmtId="0" fontId="2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6" fillId="2" borderId="1" xfId="2" applyFont="1" applyFill="1" applyBorder="1" applyAlignment="1">
      <alignment vertical="top"/>
    </xf>
    <xf numFmtId="0" fontId="4" fillId="2" borderId="0" xfId="2" applyFont="1" applyFill="1" applyBorder="1" applyAlignment="1">
      <alignment horizontal="center"/>
    </xf>
    <xf numFmtId="0" fontId="2" fillId="2" borderId="17" xfId="3" applyFont="1" applyFill="1" applyBorder="1" applyAlignment="1">
      <alignment horizontal="left" vertical="top" wrapText="1"/>
    </xf>
    <xf numFmtId="0" fontId="2" fillId="2" borderId="18" xfId="3" applyFont="1" applyFill="1" applyBorder="1" applyAlignment="1">
      <alignment horizontal="left" vertical="top" wrapText="1"/>
    </xf>
    <xf numFmtId="0" fontId="2" fillId="2" borderId="15" xfId="3" applyFont="1" applyFill="1" applyBorder="1" applyAlignment="1">
      <alignment horizontal="left" vertical="top" wrapText="1"/>
    </xf>
    <xf numFmtId="0" fontId="2" fillId="2" borderId="20" xfId="3" applyFont="1" applyFill="1" applyBorder="1" applyAlignment="1">
      <alignment horizontal="left" vertical="top" wrapText="1"/>
    </xf>
    <xf numFmtId="0" fontId="2" fillId="2" borderId="17" xfId="3" applyFont="1" applyFill="1" applyBorder="1" applyAlignment="1">
      <alignment horizontal="left" vertical="center" wrapText="1"/>
    </xf>
    <xf numFmtId="0" fontId="2" fillId="2" borderId="18" xfId="3" applyFont="1" applyFill="1" applyBorder="1" applyAlignment="1">
      <alignment horizontal="left" vertical="center" wrapText="1"/>
    </xf>
    <xf numFmtId="0" fontId="2" fillId="2" borderId="15" xfId="3" applyFont="1" applyFill="1" applyBorder="1" applyAlignment="1">
      <alignment horizontal="left" vertical="center" wrapText="1"/>
    </xf>
    <xf numFmtId="0" fontId="2" fillId="2" borderId="20" xfId="3" applyFont="1" applyFill="1" applyBorder="1" applyAlignment="1">
      <alignment horizontal="left" vertical="center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colors>
    <mruColors>
      <color rgb="FFCB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6"/>
  <sheetViews>
    <sheetView showGridLines="0" workbookViewId="0">
      <selection activeCell="C18" sqref="C18"/>
    </sheetView>
  </sheetViews>
  <sheetFormatPr defaultColWidth="9" defaultRowHeight="12.75"/>
  <cols>
    <col min="1" max="1" width="28.140625" style="87" customWidth="1"/>
    <col min="2" max="2" width="10" style="68" customWidth="1"/>
    <col min="3" max="3" width="35.5703125" style="68" customWidth="1"/>
    <col min="4" max="4" width="23.85546875" style="68" customWidth="1"/>
    <col min="5" max="5" width="52.7109375" style="68" customWidth="1"/>
    <col min="6" max="6" width="48.140625" style="68" customWidth="1"/>
    <col min="7" max="256" width="9" style="68"/>
    <col min="257" max="257" width="28.140625" style="68" customWidth="1"/>
    <col min="258" max="258" width="10" style="68" customWidth="1"/>
    <col min="259" max="259" width="14.28515625" style="68" customWidth="1"/>
    <col min="260" max="260" width="8" style="68" customWidth="1"/>
    <col min="261" max="261" width="38" style="68" customWidth="1"/>
    <col min="262" max="262" width="48.140625" style="68" customWidth="1"/>
    <col min="263" max="512" width="9" style="68"/>
    <col min="513" max="513" width="28.140625" style="68" customWidth="1"/>
    <col min="514" max="514" width="10" style="68" customWidth="1"/>
    <col min="515" max="515" width="14.28515625" style="68" customWidth="1"/>
    <col min="516" max="516" width="8" style="68" customWidth="1"/>
    <col min="517" max="517" width="38" style="68" customWidth="1"/>
    <col min="518" max="518" width="48.140625" style="68" customWidth="1"/>
    <col min="519" max="768" width="9" style="68"/>
    <col min="769" max="769" width="28.140625" style="68" customWidth="1"/>
    <col min="770" max="770" width="10" style="68" customWidth="1"/>
    <col min="771" max="771" width="14.28515625" style="68" customWidth="1"/>
    <col min="772" max="772" width="8" style="68" customWidth="1"/>
    <col min="773" max="773" width="38" style="68" customWidth="1"/>
    <col min="774" max="774" width="48.140625" style="68" customWidth="1"/>
    <col min="775" max="1024" width="9" style="68"/>
    <col min="1025" max="1025" width="28.140625" style="68" customWidth="1"/>
    <col min="1026" max="1026" width="10" style="68" customWidth="1"/>
    <col min="1027" max="1027" width="14.28515625" style="68" customWidth="1"/>
    <col min="1028" max="1028" width="8" style="68" customWidth="1"/>
    <col min="1029" max="1029" width="38" style="68" customWidth="1"/>
    <col min="1030" max="1030" width="48.140625" style="68" customWidth="1"/>
    <col min="1031" max="1280" width="9" style="68"/>
    <col min="1281" max="1281" width="28.140625" style="68" customWidth="1"/>
    <col min="1282" max="1282" width="10" style="68" customWidth="1"/>
    <col min="1283" max="1283" width="14.28515625" style="68" customWidth="1"/>
    <col min="1284" max="1284" width="8" style="68" customWidth="1"/>
    <col min="1285" max="1285" width="38" style="68" customWidth="1"/>
    <col min="1286" max="1286" width="48.140625" style="68" customWidth="1"/>
    <col min="1287" max="1536" width="9" style="68"/>
    <col min="1537" max="1537" width="28.140625" style="68" customWidth="1"/>
    <col min="1538" max="1538" width="10" style="68" customWidth="1"/>
    <col min="1539" max="1539" width="14.28515625" style="68" customWidth="1"/>
    <col min="1540" max="1540" width="8" style="68" customWidth="1"/>
    <col min="1541" max="1541" width="38" style="68" customWidth="1"/>
    <col min="1542" max="1542" width="48.140625" style="68" customWidth="1"/>
    <col min="1543" max="1792" width="9" style="68"/>
    <col min="1793" max="1793" width="28.140625" style="68" customWidth="1"/>
    <col min="1794" max="1794" width="10" style="68" customWidth="1"/>
    <col min="1795" max="1795" width="14.28515625" style="68" customWidth="1"/>
    <col min="1796" max="1796" width="8" style="68" customWidth="1"/>
    <col min="1797" max="1797" width="38" style="68" customWidth="1"/>
    <col min="1798" max="1798" width="48.140625" style="68" customWidth="1"/>
    <col min="1799" max="2048" width="9" style="68"/>
    <col min="2049" max="2049" width="28.140625" style="68" customWidth="1"/>
    <col min="2050" max="2050" width="10" style="68" customWidth="1"/>
    <col min="2051" max="2051" width="14.28515625" style="68" customWidth="1"/>
    <col min="2052" max="2052" width="8" style="68" customWidth="1"/>
    <col min="2053" max="2053" width="38" style="68" customWidth="1"/>
    <col min="2054" max="2054" width="48.140625" style="68" customWidth="1"/>
    <col min="2055" max="2304" width="9" style="68"/>
    <col min="2305" max="2305" width="28.140625" style="68" customWidth="1"/>
    <col min="2306" max="2306" width="10" style="68" customWidth="1"/>
    <col min="2307" max="2307" width="14.28515625" style="68" customWidth="1"/>
    <col min="2308" max="2308" width="8" style="68" customWidth="1"/>
    <col min="2309" max="2309" width="38" style="68" customWidth="1"/>
    <col min="2310" max="2310" width="48.140625" style="68" customWidth="1"/>
    <col min="2311" max="2560" width="9" style="68"/>
    <col min="2561" max="2561" width="28.140625" style="68" customWidth="1"/>
    <col min="2562" max="2562" width="10" style="68" customWidth="1"/>
    <col min="2563" max="2563" width="14.28515625" style="68" customWidth="1"/>
    <col min="2564" max="2564" width="8" style="68" customWidth="1"/>
    <col min="2565" max="2565" width="38" style="68" customWidth="1"/>
    <col min="2566" max="2566" width="48.140625" style="68" customWidth="1"/>
    <col min="2567" max="2816" width="9" style="68"/>
    <col min="2817" max="2817" width="28.140625" style="68" customWidth="1"/>
    <col min="2818" max="2818" width="10" style="68" customWidth="1"/>
    <col min="2819" max="2819" width="14.28515625" style="68" customWidth="1"/>
    <col min="2820" max="2820" width="8" style="68" customWidth="1"/>
    <col min="2821" max="2821" width="38" style="68" customWidth="1"/>
    <col min="2822" max="2822" width="48.140625" style="68" customWidth="1"/>
    <col min="2823" max="3072" width="9" style="68"/>
    <col min="3073" max="3073" width="28.140625" style="68" customWidth="1"/>
    <col min="3074" max="3074" width="10" style="68" customWidth="1"/>
    <col min="3075" max="3075" width="14.28515625" style="68" customWidth="1"/>
    <col min="3076" max="3076" width="8" style="68" customWidth="1"/>
    <col min="3077" max="3077" width="38" style="68" customWidth="1"/>
    <col min="3078" max="3078" width="48.140625" style="68" customWidth="1"/>
    <col min="3079" max="3328" width="9" style="68"/>
    <col min="3329" max="3329" width="28.140625" style="68" customWidth="1"/>
    <col min="3330" max="3330" width="10" style="68" customWidth="1"/>
    <col min="3331" max="3331" width="14.28515625" style="68" customWidth="1"/>
    <col min="3332" max="3332" width="8" style="68" customWidth="1"/>
    <col min="3333" max="3333" width="38" style="68" customWidth="1"/>
    <col min="3334" max="3334" width="48.140625" style="68" customWidth="1"/>
    <col min="3335" max="3584" width="9" style="68"/>
    <col min="3585" max="3585" width="28.140625" style="68" customWidth="1"/>
    <col min="3586" max="3586" width="10" style="68" customWidth="1"/>
    <col min="3587" max="3587" width="14.28515625" style="68" customWidth="1"/>
    <col min="3588" max="3588" width="8" style="68" customWidth="1"/>
    <col min="3589" max="3589" width="38" style="68" customWidth="1"/>
    <col min="3590" max="3590" width="48.140625" style="68" customWidth="1"/>
    <col min="3591" max="3840" width="9" style="68"/>
    <col min="3841" max="3841" width="28.140625" style="68" customWidth="1"/>
    <col min="3842" max="3842" width="10" style="68" customWidth="1"/>
    <col min="3843" max="3843" width="14.28515625" style="68" customWidth="1"/>
    <col min="3844" max="3844" width="8" style="68" customWidth="1"/>
    <col min="3845" max="3845" width="38" style="68" customWidth="1"/>
    <col min="3846" max="3846" width="48.140625" style="68" customWidth="1"/>
    <col min="3847" max="4096" width="9" style="68"/>
    <col min="4097" max="4097" width="28.140625" style="68" customWidth="1"/>
    <col min="4098" max="4098" width="10" style="68" customWidth="1"/>
    <col min="4099" max="4099" width="14.28515625" style="68" customWidth="1"/>
    <col min="4100" max="4100" width="8" style="68" customWidth="1"/>
    <col min="4101" max="4101" width="38" style="68" customWidth="1"/>
    <col min="4102" max="4102" width="48.140625" style="68" customWidth="1"/>
    <col min="4103" max="4352" width="9" style="68"/>
    <col min="4353" max="4353" width="28.140625" style="68" customWidth="1"/>
    <col min="4354" max="4354" width="10" style="68" customWidth="1"/>
    <col min="4355" max="4355" width="14.28515625" style="68" customWidth="1"/>
    <col min="4356" max="4356" width="8" style="68" customWidth="1"/>
    <col min="4357" max="4357" width="38" style="68" customWidth="1"/>
    <col min="4358" max="4358" width="48.140625" style="68" customWidth="1"/>
    <col min="4359" max="4608" width="9" style="68"/>
    <col min="4609" max="4609" width="28.140625" style="68" customWidth="1"/>
    <col min="4610" max="4610" width="10" style="68" customWidth="1"/>
    <col min="4611" max="4611" width="14.28515625" style="68" customWidth="1"/>
    <col min="4612" max="4612" width="8" style="68" customWidth="1"/>
    <col min="4613" max="4613" width="38" style="68" customWidth="1"/>
    <col min="4614" max="4614" width="48.140625" style="68" customWidth="1"/>
    <col min="4615" max="4864" width="9" style="68"/>
    <col min="4865" max="4865" width="28.140625" style="68" customWidth="1"/>
    <col min="4866" max="4866" width="10" style="68" customWidth="1"/>
    <col min="4867" max="4867" width="14.28515625" style="68" customWidth="1"/>
    <col min="4868" max="4868" width="8" style="68" customWidth="1"/>
    <col min="4869" max="4869" width="38" style="68" customWidth="1"/>
    <col min="4870" max="4870" width="48.140625" style="68" customWidth="1"/>
    <col min="4871" max="5120" width="9" style="68"/>
    <col min="5121" max="5121" width="28.140625" style="68" customWidth="1"/>
    <col min="5122" max="5122" width="10" style="68" customWidth="1"/>
    <col min="5123" max="5123" width="14.28515625" style="68" customWidth="1"/>
    <col min="5124" max="5124" width="8" style="68" customWidth="1"/>
    <col min="5125" max="5125" width="38" style="68" customWidth="1"/>
    <col min="5126" max="5126" width="48.140625" style="68" customWidth="1"/>
    <col min="5127" max="5376" width="9" style="68"/>
    <col min="5377" max="5377" width="28.140625" style="68" customWidth="1"/>
    <col min="5378" max="5378" width="10" style="68" customWidth="1"/>
    <col min="5379" max="5379" width="14.28515625" style="68" customWidth="1"/>
    <col min="5380" max="5380" width="8" style="68" customWidth="1"/>
    <col min="5381" max="5381" width="38" style="68" customWidth="1"/>
    <col min="5382" max="5382" width="48.140625" style="68" customWidth="1"/>
    <col min="5383" max="5632" width="9" style="68"/>
    <col min="5633" max="5633" width="28.140625" style="68" customWidth="1"/>
    <col min="5634" max="5634" width="10" style="68" customWidth="1"/>
    <col min="5635" max="5635" width="14.28515625" style="68" customWidth="1"/>
    <col min="5636" max="5636" width="8" style="68" customWidth="1"/>
    <col min="5637" max="5637" width="38" style="68" customWidth="1"/>
    <col min="5638" max="5638" width="48.140625" style="68" customWidth="1"/>
    <col min="5639" max="5888" width="9" style="68"/>
    <col min="5889" max="5889" width="28.140625" style="68" customWidth="1"/>
    <col min="5890" max="5890" width="10" style="68" customWidth="1"/>
    <col min="5891" max="5891" width="14.28515625" style="68" customWidth="1"/>
    <col min="5892" max="5892" width="8" style="68" customWidth="1"/>
    <col min="5893" max="5893" width="38" style="68" customWidth="1"/>
    <col min="5894" max="5894" width="48.140625" style="68" customWidth="1"/>
    <col min="5895" max="6144" width="9" style="68"/>
    <col min="6145" max="6145" width="28.140625" style="68" customWidth="1"/>
    <col min="6146" max="6146" width="10" style="68" customWidth="1"/>
    <col min="6147" max="6147" width="14.28515625" style="68" customWidth="1"/>
    <col min="6148" max="6148" width="8" style="68" customWidth="1"/>
    <col min="6149" max="6149" width="38" style="68" customWidth="1"/>
    <col min="6150" max="6150" width="48.140625" style="68" customWidth="1"/>
    <col min="6151" max="6400" width="9" style="68"/>
    <col min="6401" max="6401" width="28.140625" style="68" customWidth="1"/>
    <col min="6402" max="6402" width="10" style="68" customWidth="1"/>
    <col min="6403" max="6403" width="14.28515625" style="68" customWidth="1"/>
    <col min="6404" max="6404" width="8" style="68" customWidth="1"/>
    <col min="6405" max="6405" width="38" style="68" customWidth="1"/>
    <col min="6406" max="6406" width="48.140625" style="68" customWidth="1"/>
    <col min="6407" max="6656" width="9" style="68"/>
    <col min="6657" max="6657" width="28.140625" style="68" customWidth="1"/>
    <col min="6658" max="6658" width="10" style="68" customWidth="1"/>
    <col min="6659" max="6659" width="14.28515625" style="68" customWidth="1"/>
    <col min="6660" max="6660" width="8" style="68" customWidth="1"/>
    <col min="6661" max="6661" width="38" style="68" customWidth="1"/>
    <col min="6662" max="6662" width="48.140625" style="68" customWidth="1"/>
    <col min="6663" max="6912" width="9" style="68"/>
    <col min="6913" max="6913" width="28.140625" style="68" customWidth="1"/>
    <col min="6914" max="6914" width="10" style="68" customWidth="1"/>
    <col min="6915" max="6915" width="14.28515625" style="68" customWidth="1"/>
    <col min="6916" max="6916" width="8" style="68" customWidth="1"/>
    <col min="6917" max="6917" width="38" style="68" customWidth="1"/>
    <col min="6918" max="6918" width="48.140625" style="68" customWidth="1"/>
    <col min="6919" max="7168" width="9" style="68"/>
    <col min="7169" max="7169" width="28.140625" style="68" customWidth="1"/>
    <col min="7170" max="7170" width="10" style="68" customWidth="1"/>
    <col min="7171" max="7171" width="14.28515625" style="68" customWidth="1"/>
    <col min="7172" max="7172" width="8" style="68" customWidth="1"/>
    <col min="7173" max="7173" width="38" style="68" customWidth="1"/>
    <col min="7174" max="7174" width="48.140625" style="68" customWidth="1"/>
    <col min="7175" max="7424" width="9" style="68"/>
    <col min="7425" max="7425" width="28.140625" style="68" customWidth="1"/>
    <col min="7426" max="7426" width="10" style="68" customWidth="1"/>
    <col min="7427" max="7427" width="14.28515625" style="68" customWidth="1"/>
    <col min="7428" max="7428" width="8" style="68" customWidth="1"/>
    <col min="7429" max="7429" width="38" style="68" customWidth="1"/>
    <col min="7430" max="7430" width="48.140625" style="68" customWidth="1"/>
    <col min="7431" max="7680" width="9" style="68"/>
    <col min="7681" max="7681" width="28.140625" style="68" customWidth="1"/>
    <col min="7682" max="7682" width="10" style="68" customWidth="1"/>
    <col min="7683" max="7683" width="14.28515625" style="68" customWidth="1"/>
    <col min="7684" max="7684" width="8" style="68" customWidth="1"/>
    <col min="7685" max="7685" width="38" style="68" customWidth="1"/>
    <col min="7686" max="7686" width="48.140625" style="68" customWidth="1"/>
    <col min="7687" max="7936" width="9" style="68"/>
    <col min="7937" max="7937" width="28.140625" style="68" customWidth="1"/>
    <col min="7938" max="7938" width="10" style="68" customWidth="1"/>
    <col min="7939" max="7939" width="14.28515625" style="68" customWidth="1"/>
    <col min="7940" max="7940" width="8" style="68" customWidth="1"/>
    <col min="7941" max="7941" width="38" style="68" customWidth="1"/>
    <col min="7942" max="7942" width="48.140625" style="68" customWidth="1"/>
    <col min="7943" max="8192" width="9" style="68"/>
    <col min="8193" max="8193" width="28.140625" style="68" customWidth="1"/>
    <col min="8194" max="8194" width="10" style="68" customWidth="1"/>
    <col min="8195" max="8195" width="14.28515625" style="68" customWidth="1"/>
    <col min="8196" max="8196" width="8" style="68" customWidth="1"/>
    <col min="8197" max="8197" width="38" style="68" customWidth="1"/>
    <col min="8198" max="8198" width="48.140625" style="68" customWidth="1"/>
    <col min="8199" max="8448" width="9" style="68"/>
    <col min="8449" max="8449" width="28.140625" style="68" customWidth="1"/>
    <col min="8450" max="8450" width="10" style="68" customWidth="1"/>
    <col min="8451" max="8451" width="14.28515625" style="68" customWidth="1"/>
    <col min="8452" max="8452" width="8" style="68" customWidth="1"/>
    <col min="8453" max="8453" width="38" style="68" customWidth="1"/>
    <col min="8454" max="8454" width="48.140625" style="68" customWidth="1"/>
    <col min="8455" max="8704" width="9" style="68"/>
    <col min="8705" max="8705" width="28.140625" style="68" customWidth="1"/>
    <col min="8706" max="8706" width="10" style="68" customWidth="1"/>
    <col min="8707" max="8707" width="14.28515625" style="68" customWidth="1"/>
    <col min="8708" max="8708" width="8" style="68" customWidth="1"/>
    <col min="8709" max="8709" width="38" style="68" customWidth="1"/>
    <col min="8710" max="8710" width="48.140625" style="68" customWidth="1"/>
    <col min="8711" max="8960" width="9" style="68"/>
    <col min="8961" max="8961" width="28.140625" style="68" customWidth="1"/>
    <col min="8962" max="8962" width="10" style="68" customWidth="1"/>
    <col min="8963" max="8963" width="14.28515625" style="68" customWidth="1"/>
    <col min="8964" max="8964" width="8" style="68" customWidth="1"/>
    <col min="8965" max="8965" width="38" style="68" customWidth="1"/>
    <col min="8966" max="8966" width="48.140625" style="68" customWidth="1"/>
    <col min="8967" max="9216" width="9" style="68"/>
    <col min="9217" max="9217" width="28.140625" style="68" customWidth="1"/>
    <col min="9218" max="9218" width="10" style="68" customWidth="1"/>
    <col min="9219" max="9219" width="14.28515625" style="68" customWidth="1"/>
    <col min="9220" max="9220" width="8" style="68" customWidth="1"/>
    <col min="9221" max="9221" width="38" style="68" customWidth="1"/>
    <col min="9222" max="9222" width="48.140625" style="68" customWidth="1"/>
    <col min="9223" max="9472" width="9" style="68"/>
    <col min="9473" max="9473" width="28.140625" style="68" customWidth="1"/>
    <col min="9474" max="9474" width="10" style="68" customWidth="1"/>
    <col min="9475" max="9475" width="14.28515625" style="68" customWidth="1"/>
    <col min="9476" max="9476" width="8" style="68" customWidth="1"/>
    <col min="9477" max="9477" width="38" style="68" customWidth="1"/>
    <col min="9478" max="9478" width="48.140625" style="68" customWidth="1"/>
    <col min="9479" max="9728" width="9" style="68"/>
    <col min="9729" max="9729" width="28.140625" style="68" customWidth="1"/>
    <col min="9730" max="9730" width="10" style="68" customWidth="1"/>
    <col min="9731" max="9731" width="14.28515625" style="68" customWidth="1"/>
    <col min="9732" max="9732" width="8" style="68" customWidth="1"/>
    <col min="9733" max="9733" width="38" style="68" customWidth="1"/>
    <col min="9734" max="9734" width="48.140625" style="68" customWidth="1"/>
    <col min="9735" max="9984" width="9" style="68"/>
    <col min="9985" max="9985" width="28.140625" style="68" customWidth="1"/>
    <col min="9986" max="9986" width="10" style="68" customWidth="1"/>
    <col min="9987" max="9987" width="14.28515625" style="68" customWidth="1"/>
    <col min="9988" max="9988" width="8" style="68" customWidth="1"/>
    <col min="9989" max="9989" width="38" style="68" customWidth="1"/>
    <col min="9990" max="9990" width="48.140625" style="68" customWidth="1"/>
    <col min="9991" max="10240" width="9" style="68"/>
    <col min="10241" max="10241" width="28.140625" style="68" customWidth="1"/>
    <col min="10242" max="10242" width="10" style="68" customWidth="1"/>
    <col min="10243" max="10243" width="14.28515625" style="68" customWidth="1"/>
    <col min="10244" max="10244" width="8" style="68" customWidth="1"/>
    <col min="10245" max="10245" width="38" style="68" customWidth="1"/>
    <col min="10246" max="10246" width="48.140625" style="68" customWidth="1"/>
    <col min="10247" max="10496" width="9" style="68"/>
    <col min="10497" max="10497" width="28.140625" style="68" customWidth="1"/>
    <col min="10498" max="10498" width="10" style="68" customWidth="1"/>
    <col min="10499" max="10499" width="14.28515625" style="68" customWidth="1"/>
    <col min="10500" max="10500" width="8" style="68" customWidth="1"/>
    <col min="10501" max="10501" width="38" style="68" customWidth="1"/>
    <col min="10502" max="10502" width="48.140625" style="68" customWidth="1"/>
    <col min="10503" max="10752" width="9" style="68"/>
    <col min="10753" max="10753" width="28.140625" style="68" customWidth="1"/>
    <col min="10754" max="10754" width="10" style="68" customWidth="1"/>
    <col min="10755" max="10755" width="14.28515625" style="68" customWidth="1"/>
    <col min="10756" max="10756" width="8" style="68" customWidth="1"/>
    <col min="10757" max="10757" width="38" style="68" customWidth="1"/>
    <col min="10758" max="10758" width="48.140625" style="68" customWidth="1"/>
    <col min="10759" max="11008" width="9" style="68"/>
    <col min="11009" max="11009" width="28.140625" style="68" customWidth="1"/>
    <col min="11010" max="11010" width="10" style="68" customWidth="1"/>
    <col min="11011" max="11011" width="14.28515625" style="68" customWidth="1"/>
    <col min="11012" max="11012" width="8" style="68" customWidth="1"/>
    <col min="11013" max="11013" width="38" style="68" customWidth="1"/>
    <col min="11014" max="11014" width="48.140625" style="68" customWidth="1"/>
    <col min="11015" max="11264" width="9" style="68"/>
    <col min="11265" max="11265" width="28.140625" style="68" customWidth="1"/>
    <col min="11266" max="11266" width="10" style="68" customWidth="1"/>
    <col min="11267" max="11267" width="14.28515625" style="68" customWidth="1"/>
    <col min="11268" max="11268" width="8" style="68" customWidth="1"/>
    <col min="11269" max="11269" width="38" style="68" customWidth="1"/>
    <col min="11270" max="11270" width="48.140625" style="68" customWidth="1"/>
    <col min="11271" max="11520" width="9" style="68"/>
    <col min="11521" max="11521" width="28.140625" style="68" customWidth="1"/>
    <col min="11522" max="11522" width="10" style="68" customWidth="1"/>
    <col min="11523" max="11523" width="14.28515625" style="68" customWidth="1"/>
    <col min="11524" max="11524" width="8" style="68" customWidth="1"/>
    <col min="11525" max="11525" width="38" style="68" customWidth="1"/>
    <col min="11526" max="11526" width="48.140625" style="68" customWidth="1"/>
    <col min="11527" max="11776" width="9" style="68"/>
    <col min="11777" max="11777" width="28.140625" style="68" customWidth="1"/>
    <col min="11778" max="11778" width="10" style="68" customWidth="1"/>
    <col min="11779" max="11779" width="14.28515625" style="68" customWidth="1"/>
    <col min="11780" max="11780" width="8" style="68" customWidth="1"/>
    <col min="11781" max="11781" width="38" style="68" customWidth="1"/>
    <col min="11782" max="11782" width="48.140625" style="68" customWidth="1"/>
    <col min="11783" max="12032" width="9" style="68"/>
    <col min="12033" max="12033" width="28.140625" style="68" customWidth="1"/>
    <col min="12034" max="12034" width="10" style="68" customWidth="1"/>
    <col min="12035" max="12035" width="14.28515625" style="68" customWidth="1"/>
    <col min="12036" max="12036" width="8" style="68" customWidth="1"/>
    <col min="12037" max="12037" width="38" style="68" customWidth="1"/>
    <col min="12038" max="12038" width="48.140625" style="68" customWidth="1"/>
    <col min="12039" max="12288" width="9" style="68"/>
    <col min="12289" max="12289" width="28.140625" style="68" customWidth="1"/>
    <col min="12290" max="12290" width="10" style="68" customWidth="1"/>
    <col min="12291" max="12291" width="14.28515625" style="68" customWidth="1"/>
    <col min="12292" max="12292" width="8" style="68" customWidth="1"/>
    <col min="12293" max="12293" width="38" style="68" customWidth="1"/>
    <col min="12294" max="12294" width="48.140625" style="68" customWidth="1"/>
    <col min="12295" max="12544" width="9" style="68"/>
    <col min="12545" max="12545" width="28.140625" style="68" customWidth="1"/>
    <col min="12546" max="12546" width="10" style="68" customWidth="1"/>
    <col min="12547" max="12547" width="14.28515625" style="68" customWidth="1"/>
    <col min="12548" max="12548" width="8" style="68" customWidth="1"/>
    <col min="12549" max="12549" width="38" style="68" customWidth="1"/>
    <col min="12550" max="12550" width="48.140625" style="68" customWidth="1"/>
    <col min="12551" max="12800" width="9" style="68"/>
    <col min="12801" max="12801" width="28.140625" style="68" customWidth="1"/>
    <col min="12802" max="12802" width="10" style="68" customWidth="1"/>
    <col min="12803" max="12803" width="14.28515625" style="68" customWidth="1"/>
    <col min="12804" max="12804" width="8" style="68" customWidth="1"/>
    <col min="12805" max="12805" width="38" style="68" customWidth="1"/>
    <col min="12806" max="12806" width="48.140625" style="68" customWidth="1"/>
    <col min="12807" max="13056" width="9" style="68"/>
    <col min="13057" max="13057" width="28.140625" style="68" customWidth="1"/>
    <col min="13058" max="13058" width="10" style="68" customWidth="1"/>
    <col min="13059" max="13059" width="14.28515625" style="68" customWidth="1"/>
    <col min="13060" max="13060" width="8" style="68" customWidth="1"/>
    <col min="13061" max="13061" width="38" style="68" customWidth="1"/>
    <col min="13062" max="13062" width="48.140625" style="68" customWidth="1"/>
    <col min="13063" max="13312" width="9" style="68"/>
    <col min="13313" max="13313" width="28.140625" style="68" customWidth="1"/>
    <col min="13314" max="13314" width="10" style="68" customWidth="1"/>
    <col min="13315" max="13315" width="14.28515625" style="68" customWidth="1"/>
    <col min="13316" max="13316" width="8" style="68" customWidth="1"/>
    <col min="13317" max="13317" width="38" style="68" customWidth="1"/>
    <col min="13318" max="13318" width="48.140625" style="68" customWidth="1"/>
    <col min="13319" max="13568" width="9" style="68"/>
    <col min="13569" max="13569" width="28.140625" style="68" customWidth="1"/>
    <col min="13570" max="13570" width="10" style="68" customWidth="1"/>
    <col min="13571" max="13571" width="14.28515625" style="68" customWidth="1"/>
    <col min="13572" max="13572" width="8" style="68" customWidth="1"/>
    <col min="13573" max="13573" width="38" style="68" customWidth="1"/>
    <col min="13574" max="13574" width="48.140625" style="68" customWidth="1"/>
    <col min="13575" max="13824" width="9" style="68"/>
    <col min="13825" max="13825" width="28.140625" style="68" customWidth="1"/>
    <col min="13826" max="13826" width="10" style="68" customWidth="1"/>
    <col min="13827" max="13827" width="14.28515625" style="68" customWidth="1"/>
    <col min="13828" max="13828" width="8" style="68" customWidth="1"/>
    <col min="13829" max="13829" width="38" style="68" customWidth="1"/>
    <col min="13830" max="13830" width="48.140625" style="68" customWidth="1"/>
    <col min="13831" max="14080" width="9" style="68"/>
    <col min="14081" max="14081" width="28.140625" style="68" customWidth="1"/>
    <col min="14082" max="14082" width="10" style="68" customWidth="1"/>
    <col min="14083" max="14083" width="14.28515625" style="68" customWidth="1"/>
    <col min="14084" max="14084" width="8" style="68" customWidth="1"/>
    <col min="14085" max="14085" width="38" style="68" customWidth="1"/>
    <col min="14086" max="14086" width="48.140625" style="68" customWidth="1"/>
    <col min="14087" max="14336" width="9" style="68"/>
    <col min="14337" max="14337" width="28.140625" style="68" customWidth="1"/>
    <col min="14338" max="14338" width="10" style="68" customWidth="1"/>
    <col min="14339" max="14339" width="14.28515625" style="68" customWidth="1"/>
    <col min="14340" max="14340" width="8" style="68" customWidth="1"/>
    <col min="14341" max="14341" width="38" style="68" customWidth="1"/>
    <col min="14342" max="14342" width="48.140625" style="68" customWidth="1"/>
    <col min="14343" max="14592" width="9" style="68"/>
    <col min="14593" max="14593" width="28.140625" style="68" customWidth="1"/>
    <col min="14594" max="14594" width="10" style="68" customWidth="1"/>
    <col min="14595" max="14595" width="14.28515625" style="68" customWidth="1"/>
    <col min="14596" max="14596" width="8" style="68" customWidth="1"/>
    <col min="14597" max="14597" width="38" style="68" customWidth="1"/>
    <col min="14598" max="14598" width="48.140625" style="68" customWidth="1"/>
    <col min="14599" max="14848" width="9" style="68"/>
    <col min="14849" max="14849" width="28.140625" style="68" customWidth="1"/>
    <col min="14850" max="14850" width="10" style="68" customWidth="1"/>
    <col min="14851" max="14851" width="14.28515625" style="68" customWidth="1"/>
    <col min="14852" max="14852" width="8" style="68" customWidth="1"/>
    <col min="14853" max="14853" width="38" style="68" customWidth="1"/>
    <col min="14854" max="14854" width="48.140625" style="68" customWidth="1"/>
    <col min="14855" max="15104" width="9" style="68"/>
    <col min="15105" max="15105" width="28.140625" style="68" customWidth="1"/>
    <col min="15106" max="15106" width="10" style="68" customWidth="1"/>
    <col min="15107" max="15107" width="14.28515625" style="68" customWidth="1"/>
    <col min="15108" max="15108" width="8" style="68" customWidth="1"/>
    <col min="15109" max="15109" width="38" style="68" customWidth="1"/>
    <col min="15110" max="15110" width="48.140625" style="68" customWidth="1"/>
    <col min="15111" max="15360" width="9" style="68"/>
    <col min="15361" max="15361" width="28.140625" style="68" customWidth="1"/>
    <col min="15362" max="15362" width="10" style="68" customWidth="1"/>
    <col min="15363" max="15363" width="14.28515625" style="68" customWidth="1"/>
    <col min="15364" max="15364" width="8" style="68" customWidth="1"/>
    <col min="15365" max="15365" width="38" style="68" customWidth="1"/>
    <col min="15366" max="15366" width="48.140625" style="68" customWidth="1"/>
    <col min="15367" max="15616" width="9" style="68"/>
    <col min="15617" max="15617" width="28.140625" style="68" customWidth="1"/>
    <col min="15618" max="15618" width="10" style="68" customWidth="1"/>
    <col min="15619" max="15619" width="14.28515625" style="68" customWidth="1"/>
    <col min="15620" max="15620" width="8" style="68" customWidth="1"/>
    <col min="15621" max="15621" width="38" style="68" customWidth="1"/>
    <col min="15622" max="15622" width="48.140625" style="68" customWidth="1"/>
    <col min="15623" max="15872" width="9" style="68"/>
    <col min="15873" max="15873" width="28.140625" style="68" customWidth="1"/>
    <col min="15874" max="15874" width="10" style="68" customWidth="1"/>
    <col min="15875" max="15875" width="14.28515625" style="68" customWidth="1"/>
    <col min="15876" max="15876" width="8" style="68" customWidth="1"/>
    <col min="15877" max="15877" width="38" style="68" customWidth="1"/>
    <col min="15878" max="15878" width="48.140625" style="68" customWidth="1"/>
    <col min="15879" max="16128" width="9" style="68"/>
    <col min="16129" max="16129" width="28.140625" style="68" customWidth="1"/>
    <col min="16130" max="16130" width="10" style="68" customWidth="1"/>
    <col min="16131" max="16131" width="14.28515625" style="68" customWidth="1"/>
    <col min="16132" max="16132" width="8" style="68" customWidth="1"/>
    <col min="16133" max="16133" width="38" style="68" customWidth="1"/>
    <col min="16134" max="16134" width="48.140625" style="68" customWidth="1"/>
    <col min="16135" max="16384" width="9" style="68"/>
  </cols>
  <sheetData>
    <row r="2" spans="1:6" s="65" customFormat="1" ht="75.75" customHeight="1">
      <c r="A2" s="64"/>
      <c r="B2" s="150" t="s">
        <v>0</v>
      </c>
      <c r="C2" s="150"/>
      <c r="D2" s="150"/>
      <c r="E2" s="150"/>
      <c r="F2" s="150"/>
    </row>
    <row r="3" spans="1:6">
      <c r="A3" s="66"/>
      <c r="B3" s="67"/>
      <c r="E3" s="69"/>
    </row>
    <row r="4" spans="1:6" ht="14.25" customHeight="1">
      <c r="A4" s="70" t="s">
        <v>1</v>
      </c>
      <c r="B4" s="151" t="s">
        <v>2</v>
      </c>
      <c r="C4" s="152"/>
      <c r="D4" s="153"/>
      <c r="E4" s="70" t="s">
        <v>3</v>
      </c>
      <c r="F4" s="71" t="s">
        <v>4</v>
      </c>
    </row>
    <row r="5" spans="1:6" ht="14.25" customHeight="1">
      <c r="A5" s="70" t="s">
        <v>5</v>
      </c>
      <c r="B5" s="154" t="s">
        <v>6</v>
      </c>
      <c r="C5" s="154"/>
      <c r="D5" s="154"/>
      <c r="E5" s="70" t="s">
        <v>7</v>
      </c>
      <c r="F5" s="89">
        <v>45767</v>
      </c>
    </row>
    <row r="6" spans="1:6" ht="15.75" customHeight="1">
      <c r="A6" s="72" t="s">
        <v>8</v>
      </c>
      <c r="B6" s="155" t="str">
        <f>B5&amp;"_"&amp;"TestReport"&amp;"_"&amp;"vx.x"</f>
        <v>SP25SE026_TestReport_vx.x</v>
      </c>
      <c r="C6" s="156"/>
      <c r="D6" s="157"/>
      <c r="E6" s="70" t="s">
        <v>9</v>
      </c>
      <c r="F6" s="90" t="s">
        <v>10</v>
      </c>
    </row>
    <row r="7" spans="1:6">
      <c r="A7" s="73"/>
      <c r="B7" s="74"/>
      <c r="E7" s="75"/>
      <c r="F7" s="67"/>
    </row>
    <row r="8" spans="1:6">
      <c r="A8" s="68"/>
    </row>
    <row r="9" spans="1:6">
      <c r="A9" s="76" t="s">
        <v>11</v>
      </c>
    </row>
    <row r="10" spans="1:6" s="80" customFormat="1">
      <c r="A10" s="77" t="s">
        <v>12</v>
      </c>
      <c r="B10" s="78" t="s">
        <v>9</v>
      </c>
      <c r="C10" s="78" t="s">
        <v>13</v>
      </c>
      <c r="D10" s="78" t="s">
        <v>14</v>
      </c>
      <c r="E10" s="78" t="s">
        <v>15</v>
      </c>
      <c r="F10" s="79" t="s">
        <v>16</v>
      </c>
    </row>
    <row r="11" spans="1:6" s="85" customFormat="1" ht="26.25" customHeight="1">
      <c r="A11" s="91">
        <v>45767</v>
      </c>
      <c r="B11" s="81" t="s">
        <v>17</v>
      </c>
      <c r="C11" s="82"/>
      <c r="D11" s="82" t="s">
        <v>18</v>
      </c>
      <c r="E11" s="83" t="s">
        <v>19</v>
      </c>
      <c r="F11" s="84"/>
    </row>
    <row r="12" spans="1:6" s="85" customFormat="1">
      <c r="A12" s="91">
        <v>45767</v>
      </c>
      <c r="B12" s="81" t="s">
        <v>17</v>
      </c>
      <c r="C12" s="82" t="s">
        <v>20</v>
      </c>
      <c r="D12" s="82" t="s">
        <v>18</v>
      </c>
      <c r="E12" s="92" t="s">
        <v>21</v>
      </c>
      <c r="F12" s="86"/>
    </row>
    <row r="13" spans="1:6" s="85" customFormat="1" ht="19.5" customHeight="1">
      <c r="A13" s="91">
        <v>45771</v>
      </c>
      <c r="B13" s="81" t="s">
        <v>17</v>
      </c>
      <c r="C13" s="82" t="s">
        <v>22</v>
      </c>
      <c r="D13" s="82" t="s">
        <v>18</v>
      </c>
      <c r="E13" s="82" t="s">
        <v>23</v>
      </c>
      <c r="F13" s="86"/>
    </row>
    <row r="14" spans="1:6" s="85" customFormat="1" ht="21.75" customHeight="1">
      <c r="A14" s="91">
        <v>45771</v>
      </c>
      <c r="B14" s="81" t="s">
        <v>17</v>
      </c>
      <c r="C14" s="82" t="s">
        <v>24</v>
      </c>
      <c r="D14" s="82" t="s">
        <v>18</v>
      </c>
      <c r="E14" s="82" t="s">
        <v>25</v>
      </c>
      <c r="F14" s="86"/>
    </row>
    <row r="15" spans="1:6" s="85" customFormat="1" ht="19.5" customHeight="1">
      <c r="A15" s="91">
        <v>45772</v>
      </c>
      <c r="B15" s="81" t="s">
        <v>17</v>
      </c>
      <c r="C15" s="82" t="s">
        <v>22</v>
      </c>
      <c r="D15" s="82" t="s">
        <v>26</v>
      </c>
      <c r="E15" s="82" t="s">
        <v>27</v>
      </c>
      <c r="F15" s="86"/>
    </row>
    <row r="16" spans="1:6" s="85" customFormat="1" ht="21.75" customHeight="1">
      <c r="A16" s="91">
        <v>45774</v>
      </c>
      <c r="B16" s="81" t="s">
        <v>17</v>
      </c>
      <c r="C16" s="82" t="s">
        <v>24</v>
      </c>
      <c r="D16" s="82" t="s">
        <v>26</v>
      </c>
      <c r="E16" s="82" t="s">
        <v>28</v>
      </c>
      <c r="F16" s="86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6"/>
  <sheetViews>
    <sheetView workbookViewId="0">
      <selection activeCell="D17" sqref="D17"/>
    </sheetView>
  </sheetViews>
  <sheetFormatPr defaultColWidth="9" defaultRowHeight="12.75"/>
  <cols>
    <col min="1" max="1" width="1.28515625" style="1" customWidth="1"/>
    <col min="2" max="2" width="11.85546875" style="3" customWidth="1"/>
    <col min="3" max="3" width="28.85546875" style="4" customWidth="1"/>
    <col min="4" max="4" width="32.42578125" style="4" bestFit="1" customWidth="1"/>
    <col min="5" max="5" width="28.140625" style="4" customWidth="1"/>
    <col min="6" max="6" width="30.7109375" style="4" customWidth="1"/>
    <col min="7" max="16384" width="9" style="1"/>
  </cols>
  <sheetData>
    <row r="1" spans="2:6" ht="24.4">
      <c r="B1" s="5"/>
      <c r="D1" s="6" t="s">
        <v>29</v>
      </c>
      <c r="E1" s="7"/>
    </row>
    <row r="2" spans="2:6" ht="13.5" customHeight="1">
      <c r="B2" s="5"/>
      <c r="D2" s="8"/>
      <c r="E2" s="8"/>
    </row>
    <row r="3" spans="2:6">
      <c r="B3" s="161" t="s">
        <v>1</v>
      </c>
      <c r="C3" s="161"/>
      <c r="D3" s="151" t="s">
        <v>2</v>
      </c>
      <c r="E3" s="152"/>
      <c r="F3" s="153"/>
    </row>
    <row r="4" spans="2:6">
      <c r="B4" s="161" t="s">
        <v>5</v>
      </c>
      <c r="C4" s="161"/>
      <c r="D4" s="154" t="s">
        <v>6</v>
      </c>
      <c r="E4" s="154"/>
      <c r="F4" s="154"/>
    </row>
    <row r="5" spans="2:6" s="9" customFormat="1" ht="84.75" customHeight="1">
      <c r="B5" s="158" t="s">
        <v>30</v>
      </c>
      <c r="C5" s="158"/>
      <c r="D5" s="159" t="s">
        <v>31</v>
      </c>
      <c r="E5" s="160"/>
      <c r="F5" s="160"/>
    </row>
    <row r="6" spans="2:6">
      <c r="B6" s="10"/>
      <c r="C6" s="11"/>
      <c r="D6" s="11"/>
      <c r="E6" s="11"/>
      <c r="F6" s="11"/>
    </row>
    <row r="7" spans="2:6" s="12" customFormat="1">
      <c r="B7" s="13"/>
      <c r="C7" s="14"/>
      <c r="D7" s="14"/>
      <c r="E7" s="14"/>
      <c r="F7" s="14"/>
    </row>
    <row r="8" spans="2:6" s="15" customFormat="1" ht="21" customHeight="1">
      <c r="B8" s="16" t="s">
        <v>32</v>
      </c>
      <c r="C8" s="17" t="s">
        <v>33</v>
      </c>
      <c r="D8" s="17" t="s">
        <v>34</v>
      </c>
      <c r="E8" s="18" t="s">
        <v>35</v>
      </c>
      <c r="F8" s="19" t="s">
        <v>36</v>
      </c>
    </row>
    <row r="9" spans="2:6">
      <c r="B9" s="20">
        <v>1</v>
      </c>
      <c r="C9" s="115" t="s">
        <v>37</v>
      </c>
      <c r="D9" s="63" t="str">
        <f>'Woodworker Registration'!B2</f>
        <v>Woodworker Registration</v>
      </c>
      <c r="E9" s="22"/>
      <c r="F9" s="23"/>
    </row>
    <row r="10" spans="2:6" ht="12.75" customHeight="1">
      <c r="B10" s="20">
        <v>2</v>
      </c>
      <c r="C10" s="21" t="s">
        <v>38</v>
      </c>
      <c r="D10" s="63" t="str">
        <f>'Customizaztion Service Booking'!B2</f>
        <v>Customizaztion Service Booking</v>
      </c>
      <c r="E10" s="22"/>
      <c r="F10" s="23"/>
    </row>
    <row r="11" spans="2:6">
      <c r="B11" s="20">
        <v>3</v>
      </c>
      <c r="C11" s="21" t="s">
        <v>39</v>
      </c>
      <c r="D11" s="63" t="str">
        <f>'Guarantee Service Booking'!B2</f>
        <v>Guarantee Service Booking</v>
      </c>
      <c r="E11" s="22"/>
      <c r="F11" s="23"/>
    </row>
    <row r="12" spans="2:6" ht="13.5">
      <c r="B12" s="20">
        <v>4</v>
      </c>
      <c r="C12" s="21" t="s">
        <v>40</v>
      </c>
      <c r="D12" s="63" t="str">
        <f>'Guarantee Service Booking'!B2</f>
        <v>Guarantee Service Booking</v>
      </c>
      <c r="E12" s="22"/>
      <c r="F12" s="23"/>
    </row>
    <row r="13" spans="2:6" ht="13.5">
      <c r="B13" s="20">
        <v>5</v>
      </c>
      <c r="C13" s="21" t="s">
        <v>41</v>
      </c>
      <c r="D13" s="63" t="str">
        <f>'Manage Post'!B2</f>
        <v>Manage post</v>
      </c>
      <c r="E13" s="22"/>
      <c r="F13" s="23"/>
    </row>
    <row r="14" spans="2:6" ht="13.5">
      <c r="B14" s="20">
        <v>6</v>
      </c>
      <c r="C14" s="21" t="s">
        <v>42</v>
      </c>
      <c r="D14" s="63" t="str">
        <f>'Manage Post'!B2</f>
        <v>Manage post</v>
      </c>
      <c r="E14" s="22"/>
      <c r="F14" s="23"/>
    </row>
    <row r="15" spans="2:6" ht="13.5">
      <c r="B15" s="20">
        <v>7</v>
      </c>
      <c r="C15" s="21" t="s">
        <v>43</v>
      </c>
      <c r="D15" s="63" t="str">
        <f>Authentication!B2</f>
        <v>Authentication</v>
      </c>
      <c r="E15" s="22"/>
      <c r="F15" s="23"/>
    </row>
    <row r="16" spans="2:6" ht="13.5">
      <c r="B16" s="20">
        <v>8</v>
      </c>
      <c r="C16" s="21" t="s">
        <v>44</v>
      </c>
      <c r="D16" s="63" t="str">
        <f>Authentication!B2</f>
        <v>Authentication</v>
      </c>
      <c r="E16" s="22"/>
      <c r="F16" s="23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D27" sqref="D27"/>
    </sheetView>
  </sheetViews>
  <sheetFormatPr defaultColWidth="9" defaultRowHeight="12.75"/>
  <cols>
    <col min="1" max="1" width="4.42578125" style="1" customWidth="1"/>
    <col min="2" max="2" width="18.28515625" style="1" customWidth="1"/>
    <col min="3" max="3" width="41.7109375" style="1" customWidth="1"/>
    <col min="4" max="4" width="7.140625" style="1" bestFit="1" customWidth="1"/>
    <col min="5" max="5" width="6.28515625" style="1" bestFit="1" customWidth="1"/>
    <col min="6" max="6" width="14" style="1" customWidth="1"/>
    <col min="7" max="7" width="9" style="1"/>
    <col min="8" max="8" width="35.42578125" style="1" customWidth="1"/>
    <col min="9" max="9" width="33.140625" style="1" customWidth="1"/>
    <col min="10" max="16384" width="9" style="1"/>
  </cols>
  <sheetData>
    <row r="1" spans="1:8" ht="25.5" customHeight="1">
      <c r="B1" s="165" t="s">
        <v>45</v>
      </c>
      <c r="C1" s="165"/>
      <c r="D1" s="165"/>
      <c r="E1" s="165"/>
      <c r="F1" s="165"/>
      <c r="G1" s="165"/>
      <c r="H1" s="165"/>
    </row>
    <row r="2" spans="1:8" ht="14.25" customHeight="1">
      <c r="A2" s="36"/>
      <c r="B2" s="36"/>
      <c r="C2" s="37"/>
      <c r="D2" s="37"/>
      <c r="E2" s="37"/>
      <c r="F2" s="37"/>
      <c r="G2" s="37"/>
      <c r="H2" s="38"/>
    </row>
    <row r="3" spans="1:8" ht="12" customHeight="1">
      <c r="B3" s="2" t="s">
        <v>1</v>
      </c>
      <c r="C3" s="162" t="s">
        <v>46</v>
      </c>
      <c r="D3" s="162"/>
      <c r="E3" s="163" t="s">
        <v>3</v>
      </c>
      <c r="F3" s="163"/>
      <c r="G3" s="39"/>
      <c r="H3" s="40" t="s">
        <v>4</v>
      </c>
    </row>
    <row r="4" spans="1:8" ht="12" customHeight="1">
      <c r="B4" s="2" t="s">
        <v>5</v>
      </c>
      <c r="C4" s="162" t="s">
        <v>6</v>
      </c>
      <c r="D4" s="162"/>
      <c r="E4" s="163" t="s">
        <v>47</v>
      </c>
      <c r="F4" s="163"/>
      <c r="G4" s="39"/>
      <c r="H4" s="40"/>
    </row>
    <row r="5" spans="1:8" ht="12" customHeight="1">
      <c r="B5" s="41" t="s">
        <v>8</v>
      </c>
      <c r="C5" s="162" t="str">
        <f>C4&amp;"_"&amp;"TestReport"&amp;"_"&amp;"vx.x"</f>
        <v>SP25SE026_TestReport_vx.x</v>
      </c>
      <c r="D5" s="162"/>
      <c r="E5" s="163" t="s">
        <v>7</v>
      </c>
      <c r="F5" s="163"/>
      <c r="G5" s="39"/>
      <c r="H5" s="88">
        <v>45767</v>
      </c>
    </row>
    <row r="6" spans="1:8" ht="21.75" customHeight="1">
      <c r="A6" s="36"/>
      <c r="B6" s="41" t="s">
        <v>48</v>
      </c>
      <c r="C6" s="164"/>
      <c r="D6" s="164"/>
      <c r="E6" s="164"/>
      <c r="F6" s="164"/>
      <c r="G6" s="164"/>
      <c r="H6" s="164"/>
    </row>
    <row r="7" spans="1:8" ht="14.25" customHeight="1">
      <c r="A7" s="36"/>
      <c r="B7" s="42"/>
      <c r="C7" s="43"/>
      <c r="D7" s="37"/>
      <c r="E7" s="37"/>
      <c r="F7" s="37"/>
      <c r="G7" s="37"/>
      <c r="H7" s="38"/>
    </row>
    <row r="8" spans="1:8">
      <c r="B8" s="42"/>
      <c r="C8" s="43"/>
      <c r="D8" s="37"/>
      <c r="E8" s="37"/>
      <c r="F8" s="37"/>
      <c r="G8" s="37"/>
      <c r="H8" s="38"/>
    </row>
    <row r="9" spans="1:8">
      <c r="A9" s="44"/>
      <c r="B9" s="44"/>
      <c r="C9" s="44"/>
      <c r="D9" s="44"/>
      <c r="E9" s="44"/>
      <c r="F9" s="44"/>
      <c r="G9" s="44"/>
      <c r="H9" s="44"/>
    </row>
    <row r="10" spans="1:8">
      <c r="A10" s="11"/>
      <c r="B10" s="133" t="s">
        <v>32</v>
      </c>
      <c r="C10" s="133" t="s">
        <v>49</v>
      </c>
      <c r="D10" s="134" t="s">
        <v>50</v>
      </c>
      <c r="E10" s="133" t="s">
        <v>51</v>
      </c>
      <c r="F10" s="133" t="s">
        <v>52</v>
      </c>
      <c r="G10" s="133" t="s">
        <v>53</v>
      </c>
      <c r="H10" s="134" t="s">
        <v>54</v>
      </c>
    </row>
    <row r="11" spans="1:8">
      <c r="A11" s="44"/>
      <c r="B11" s="135">
        <v>1</v>
      </c>
      <c r="C11" s="135" t="str">
        <f>'Woodworker Registration'!B2</f>
        <v>Woodworker Registration</v>
      </c>
      <c r="D11" s="135">
        <f>'Woodworker Registration'!B6</f>
        <v>6</v>
      </c>
      <c r="E11" s="135">
        <f>'Woodworker Registration'!C6</f>
        <v>1</v>
      </c>
      <c r="F11" s="135">
        <f>'Woodworker Registration'!D6</f>
        <v>0</v>
      </c>
      <c r="G11" s="135">
        <f>'Woodworker Registration'!E6</f>
        <v>0</v>
      </c>
      <c r="H11" s="135">
        <f>'Woodworker Registration'!B4</f>
        <v>7</v>
      </c>
    </row>
    <row r="12" spans="1:8">
      <c r="A12" s="44"/>
      <c r="B12" s="135">
        <v>2</v>
      </c>
      <c r="C12" s="135" t="str">
        <f>'Customizaztion Service Booking'!B2</f>
        <v>Customizaztion Service Booking</v>
      </c>
      <c r="D12" s="135">
        <f>'Customizaztion Service Booking'!B6</f>
        <v>10</v>
      </c>
      <c r="E12" s="135">
        <f>'Customizaztion Service Booking'!C6</f>
        <v>0</v>
      </c>
      <c r="F12" s="135">
        <f>'Customizaztion Service Booking'!D6</f>
        <v>0</v>
      </c>
      <c r="G12" s="135">
        <f>'Customizaztion Service Booking'!E6</f>
        <v>0</v>
      </c>
      <c r="H12" s="135">
        <f>'Customizaztion Service Booking'!B4</f>
        <v>10</v>
      </c>
    </row>
    <row r="13" spans="1:8">
      <c r="A13" s="44"/>
      <c r="B13" s="135">
        <v>3</v>
      </c>
      <c r="C13" s="135" t="str">
        <f>'Guarantee Service Booking'!B2</f>
        <v>Guarantee Service Booking</v>
      </c>
      <c r="D13" s="135">
        <f>'Guarantee Service Booking'!B6</f>
        <v>5</v>
      </c>
      <c r="E13" s="135">
        <f>'Guarantee Service Booking'!C6</f>
        <v>2</v>
      </c>
      <c r="F13" s="135">
        <f>'Guarantee Service Booking'!D6</f>
        <v>0</v>
      </c>
      <c r="G13" s="135">
        <f>'Guarantee Service Booking'!E6</f>
        <v>0</v>
      </c>
      <c r="H13" s="135">
        <f>'Guarantee Service Booking'!B4</f>
        <v>7</v>
      </c>
    </row>
    <row r="14" spans="1:8">
      <c r="A14" s="44"/>
      <c r="B14" s="135">
        <v>4</v>
      </c>
      <c r="C14" s="135" t="s">
        <v>55</v>
      </c>
      <c r="D14" s="135">
        <f>'Manage Post'!B6</f>
        <v>7</v>
      </c>
      <c r="E14" s="135">
        <f>'Manage Post'!C6</f>
        <v>2</v>
      </c>
      <c r="F14" s="135">
        <f>'Manage Post'!D6</f>
        <v>1</v>
      </c>
      <c r="G14" s="135">
        <f>'Manage Post'!E6</f>
        <v>0</v>
      </c>
      <c r="H14" s="135">
        <f>'Manage Post'!B4</f>
        <v>10</v>
      </c>
    </row>
    <row r="15" spans="1:8">
      <c r="A15" s="44"/>
      <c r="B15" s="135">
        <v>5</v>
      </c>
      <c r="C15" s="135" t="s">
        <v>56</v>
      </c>
      <c r="D15" s="135">
        <f>Authentication!B6</f>
        <v>9</v>
      </c>
      <c r="E15" s="135">
        <f>Authentication!C6</f>
        <v>1</v>
      </c>
      <c r="F15" s="135">
        <f>Authentication!D6</f>
        <v>0</v>
      </c>
      <c r="G15" s="135">
        <f>Authentication!E6</f>
        <v>0</v>
      </c>
      <c r="H15" s="135">
        <f>Authentication!B4</f>
        <v>10</v>
      </c>
    </row>
    <row r="16" spans="1:8">
      <c r="A16" s="44"/>
      <c r="B16" s="136"/>
      <c r="C16" s="138" t="s">
        <v>57</v>
      </c>
      <c r="D16" s="137">
        <f>SUM(D9:D15)</f>
        <v>37</v>
      </c>
      <c r="E16" s="137">
        <f t="shared" ref="E16:H16" si="0">SUM(E9:E15)</f>
        <v>6</v>
      </c>
      <c r="F16" s="137">
        <f t="shared" si="0"/>
        <v>1</v>
      </c>
      <c r="G16" s="137">
        <f t="shared" si="0"/>
        <v>0</v>
      </c>
      <c r="H16" s="137">
        <f t="shared" si="0"/>
        <v>44</v>
      </c>
    </row>
    <row r="17" spans="1:8">
      <c r="A17" s="44"/>
      <c r="B17" s="45"/>
      <c r="C17" s="44"/>
      <c r="D17" s="46"/>
      <c r="E17" s="47"/>
      <c r="F17" s="47"/>
      <c r="G17" s="47"/>
      <c r="H17" s="47"/>
    </row>
    <row r="18" spans="1:8">
      <c r="A18" s="44"/>
      <c r="B18" s="44"/>
      <c r="C18" s="48" t="s">
        <v>58</v>
      </c>
      <c r="D18" s="44"/>
      <c r="E18" s="49">
        <f>(D16+E16)*100/(H16-G16)</f>
        <v>97.727272727272734</v>
      </c>
      <c r="F18" s="44" t="s">
        <v>59</v>
      </c>
      <c r="G18" s="44"/>
      <c r="H18" s="31"/>
    </row>
    <row r="19" spans="1:8">
      <c r="A19" s="44"/>
      <c r="B19" s="44"/>
      <c r="C19" s="48" t="s">
        <v>60</v>
      </c>
      <c r="D19" s="44"/>
      <c r="E19" s="49">
        <f>D16*100/(H16-G16)</f>
        <v>84.090909090909093</v>
      </c>
      <c r="F19" s="44" t="s">
        <v>59</v>
      </c>
      <c r="G19" s="44"/>
      <c r="H19" s="31"/>
    </row>
    <row r="20" spans="1:8">
      <c r="C20" s="44"/>
      <c r="D20" s="4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D14" sqref="D14"/>
    </sheetView>
  </sheetViews>
  <sheetFormatPr defaultColWidth="9" defaultRowHeight="12.75" outlineLevelRow="1" outlineLevelCol="1"/>
  <cols>
    <col min="1" max="1" width="17" style="1" customWidth="1"/>
    <col min="2" max="2" width="34.42578125" style="1" customWidth="1"/>
    <col min="3" max="3" width="34.140625" style="1" customWidth="1"/>
    <col min="4" max="4" width="34.7109375" style="1" customWidth="1"/>
    <col min="5" max="5" width="28.28515625" style="1" customWidth="1"/>
    <col min="6" max="6" width="9.28515625" style="1" customWidth="1"/>
    <col min="7" max="7" width="10.7109375" style="1" customWidth="1" outlineLevel="1"/>
    <col min="8" max="8" width="7" style="24" bestFit="1" customWidth="1" outlineLevel="1"/>
    <col min="9" max="9" width="9.28515625" style="1" customWidth="1"/>
    <col min="10" max="10" width="10.7109375" style="1" customWidth="1" outlineLevel="1"/>
    <col min="11" max="11" width="7" style="24" bestFit="1" customWidth="1" outlineLevel="1"/>
    <col min="12" max="12" width="9.28515625" style="1" customWidth="1"/>
    <col min="13" max="13" width="10.7109375" style="1" customWidth="1" outlineLevel="1"/>
    <col min="14" max="14" width="7" style="24" bestFit="1" customWidth="1" outlineLevel="1"/>
    <col min="15" max="15" width="28.7109375" style="24" customWidth="1"/>
    <col min="16" max="16" width="10.140625" style="1" customWidth="1"/>
    <col min="17" max="17" width="8.140625" style="25" customWidth="1"/>
    <col min="18" max="18" width="7.7109375" style="1" hidden="1" customWidth="1"/>
    <col min="19" max="16384" width="9" style="1"/>
  </cols>
  <sheetData>
    <row r="1" spans="1:18" ht="13.15" thickBot="1"/>
    <row r="2" spans="1:18" s="27" customFormat="1" ht="15" customHeight="1">
      <c r="A2" s="61" t="s">
        <v>61</v>
      </c>
      <c r="B2" s="166" t="s">
        <v>62</v>
      </c>
      <c r="C2" s="166"/>
      <c r="D2" s="166"/>
      <c r="E2" s="167"/>
      <c r="F2" s="53"/>
      <c r="G2" s="50"/>
      <c r="H2" s="28"/>
      <c r="I2" s="53"/>
      <c r="J2" s="50"/>
      <c r="K2" s="28"/>
      <c r="L2" s="53"/>
      <c r="M2" s="50"/>
      <c r="N2" s="28"/>
      <c r="O2" s="28"/>
      <c r="P2" s="9"/>
      <c r="Q2" s="26"/>
      <c r="R2" s="27" t="s">
        <v>50</v>
      </c>
    </row>
    <row r="3" spans="1:18" s="27" customFormat="1">
      <c r="A3" s="62" t="s">
        <v>63</v>
      </c>
      <c r="B3" s="168" t="s">
        <v>64</v>
      </c>
      <c r="C3" s="168"/>
      <c r="D3" s="168"/>
      <c r="E3" s="169"/>
      <c r="F3" s="53"/>
      <c r="G3" s="50"/>
      <c r="H3" s="28"/>
      <c r="I3" s="53"/>
      <c r="J3" s="50"/>
      <c r="K3" s="28"/>
      <c r="L3" s="53"/>
      <c r="M3" s="50"/>
      <c r="N3" s="28"/>
      <c r="O3" s="28"/>
      <c r="P3" s="9"/>
      <c r="Q3" s="26"/>
      <c r="R3" s="27" t="s">
        <v>51</v>
      </c>
    </row>
    <row r="4" spans="1:18" s="27" customFormat="1" ht="18" customHeight="1">
      <c r="A4" s="62" t="s">
        <v>65</v>
      </c>
      <c r="B4" s="168">
        <f>COUNTA(A12:A997)</f>
        <v>7</v>
      </c>
      <c r="C4" s="168"/>
      <c r="D4" s="168"/>
      <c r="E4" s="169"/>
      <c r="F4" s="53"/>
      <c r="G4" s="50"/>
      <c r="H4" s="28"/>
      <c r="I4" s="53"/>
      <c r="J4" s="50"/>
      <c r="K4" s="28"/>
      <c r="L4" s="53"/>
      <c r="M4" s="50"/>
      <c r="N4" s="28"/>
      <c r="O4" s="28"/>
      <c r="P4" s="9"/>
      <c r="Q4" s="26"/>
      <c r="R4" s="27" t="s">
        <v>52</v>
      </c>
    </row>
    <row r="5" spans="1:18" s="27" customFormat="1" ht="19.5" customHeight="1">
      <c r="A5" s="57" t="s">
        <v>66</v>
      </c>
      <c r="B5" s="55" t="s">
        <v>50</v>
      </c>
      <c r="C5" s="55" t="s">
        <v>51</v>
      </c>
      <c r="D5" s="55" t="s">
        <v>52</v>
      </c>
      <c r="E5" s="58" t="s">
        <v>53</v>
      </c>
      <c r="F5" s="51"/>
      <c r="G5" s="51"/>
      <c r="H5" s="29"/>
      <c r="I5" s="51"/>
      <c r="J5" s="51"/>
      <c r="K5" s="29"/>
      <c r="L5" s="51"/>
      <c r="M5" s="51"/>
      <c r="N5" s="29"/>
      <c r="O5" s="29"/>
      <c r="P5" s="29"/>
      <c r="Q5" s="30"/>
      <c r="R5" s="27" t="s">
        <v>53</v>
      </c>
    </row>
    <row r="6" spans="1:18" s="27" customFormat="1" ht="15" customHeight="1">
      <c r="A6" s="57" t="s">
        <v>67</v>
      </c>
      <c r="B6" s="56">
        <f>COUNTIF($F10:$F995,B5)</f>
        <v>6</v>
      </c>
      <c r="C6" s="56">
        <f>COUNTIF($F10:$F995,C5)</f>
        <v>1</v>
      </c>
      <c r="D6" s="56">
        <f>COUNTIF($F10:$F995,D5)</f>
        <v>0</v>
      </c>
      <c r="E6" s="56">
        <f>COUNTIF($F10:$F995,E5)</f>
        <v>0</v>
      </c>
      <c r="F6" s="52"/>
      <c r="G6" s="52"/>
      <c r="H6" s="29"/>
      <c r="I6" s="52"/>
      <c r="J6" s="52"/>
      <c r="K6" s="29"/>
      <c r="L6" s="52"/>
      <c r="M6" s="52"/>
      <c r="N6" s="29"/>
      <c r="O6" s="29"/>
      <c r="P6" s="29"/>
      <c r="Q6" s="30"/>
    </row>
    <row r="7" spans="1:18" s="27" customFormat="1" ht="15" customHeight="1">
      <c r="A7" s="57" t="s">
        <v>68</v>
      </c>
      <c r="B7" s="56">
        <f>COUNTIF($I10:$I995,B5)</f>
        <v>6</v>
      </c>
      <c r="C7" s="56">
        <f>COUNTIF($I10:$I995,C5)</f>
        <v>1</v>
      </c>
      <c r="D7" s="56">
        <f>COUNTIF($I10:$I995,D5)</f>
        <v>0</v>
      </c>
      <c r="E7" s="56">
        <f>COUNTIF($I10:$I995,E5)</f>
        <v>0</v>
      </c>
      <c r="F7" s="52"/>
      <c r="G7" s="52"/>
      <c r="H7" s="29"/>
      <c r="I7" s="52"/>
      <c r="J7" s="52"/>
      <c r="K7" s="29"/>
      <c r="L7" s="52"/>
      <c r="M7" s="52"/>
      <c r="N7" s="29"/>
      <c r="O7" s="29"/>
      <c r="P7" s="29"/>
      <c r="Q7" s="30"/>
    </row>
    <row r="8" spans="1:18" s="27" customFormat="1" ht="15" customHeight="1">
      <c r="A8" s="59" t="s">
        <v>69</v>
      </c>
      <c r="B8" s="60">
        <f>COUNTIF($L10:$L995,B5)</f>
        <v>7</v>
      </c>
      <c r="C8" s="60">
        <f>COUNTIF($L10:$L995,C5)</f>
        <v>0</v>
      </c>
      <c r="D8" s="60">
        <f>COUNTIF($L10:$L995,D5)</f>
        <v>0</v>
      </c>
      <c r="E8" s="60">
        <f>COUNTIF($L10:$L995,E5)</f>
        <v>0</v>
      </c>
      <c r="F8" s="52"/>
      <c r="G8" s="52"/>
      <c r="H8" s="29"/>
      <c r="I8" s="52"/>
      <c r="J8" s="52"/>
      <c r="K8" s="29"/>
      <c r="L8" s="52"/>
      <c r="M8" s="52"/>
      <c r="N8" s="29"/>
      <c r="O8" s="29"/>
      <c r="P8" s="29"/>
      <c r="Q8" s="30"/>
    </row>
    <row r="9" spans="1:18" s="27" customFormat="1" ht="15" customHeight="1">
      <c r="A9" s="29"/>
      <c r="B9" s="29"/>
      <c r="C9" s="29"/>
      <c r="D9" s="29"/>
      <c r="E9" s="29"/>
      <c r="F9" s="31"/>
      <c r="G9" s="29"/>
      <c r="H9" s="29"/>
      <c r="I9" s="31"/>
      <c r="J9" s="29"/>
      <c r="K9" s="29"/>
      <c r="L9" s="31"/>
      <c r="M9" s="29"/>
      <c r="N9" s="29"/>
      <c r="O9" s="29"/>
      <c r="P9" s="29"/>
      <c r="Q9" s="30"/>
    </row>
    <row r="10" spans="1:18" s="27" customFormat="1" ht="25.5" customHeight="1">
      <c r="A10" s="93" t="s">
        <v>70</v>
      </c>
      <c r="B10" s="93" t="s">
        <v>71</v>
      </c>
      <c r="C10" s="93" t="s">
        <v>72</v>
      </c>
      <c r="D10" s="93" t="s">
        <v>73</v>
      </c>
      <c r="E10" s="93" t="s">
        <v>74</v>
      </c>
      <c r="F10" s="93" t="s">
        <v>67</v>
      </c>
      <c r="G10" s="93" t="s">
        <v>75</v>
      </c>
      <c r="H10" s="93" t="s">
        <v>76</v>
      </c>
      <c r="I10" s="93" t="s">
        <v>68</v>
      </c>
      <c r="J10" s="93" t="s">
        <v>75</v>
      </c>
      <c r="K10" s="93" t="s">
        <v>76</v>
      </c>
      <c r="L10" s="93" t="s">
        <v>69</v>
      </c>
      <c r="M10" s="93" t="s">
        <v>75</v>
      </c>
      <c r="N10" s="93" t="s">
        <v>76</v>
      </c>
      <c r="O10" s="93" t="s">
        <v>77</v>
      </c>
      <c r="Q10" s="32"/>
    </row>
    <row r="11" spans="1:18" s="27" customFormat="1" ht="15.75" customHeight="1">
      <c r="A11" s="94" t="s">
        <v>37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Q11" s="33"/>
    </row>
    <row r="12" spans="1:18" ht="51" outlineLevel="1">
      <c r="A12" s="95" t="s">
        <v>78</v>
      </c>
      <c r="B12" s="95" t="s">
        <v>79</v>
      </c>
      <c r="C12" s="95" t="s">
        <v>80</v>
      </c>
      <c r="D12" s="96" t="s">
        <v>81</v>
      </c>
      <c r="E12" s="97" t="s">
        <v>82</v>
      </c>
      <c r="F12" s="95" t="s">
        <v>50</v>
      </c>
      <c r="G12" s="98">
        <v>45767</v>
      </c>
      <c r="H12" s="95" t="s">
        <v>83</v>
      </c>
      <c r="I12" s="95" t="s">
        <v>50</v>
      </c>
      <c r="J12" s="98">
        <v>45767</v>
      </c>
      <c r="K12" s="95" t="s">
        <v>83</v>
      </c>
      <c r="L12" s="95" t="s">
        <v>50</v>
      </c>
      <c r="M12" s="98">
        <v>45770</v>
      </c>
      <c r="N12" s="95" t="s">
        <v>83</v>
      </c>
      <c r="O12" s="99"/>
      <c r="Q12" s="34"/>
    </row>
    <row r="13" spans="1:18" ht="38.25" outlineLevel="1">
      <c r="A13" s="95" t="s">
        <v>84</v>
      </c>
      <c r="B13" s="95" t="s">
        <v>85</v>
      </c>
      <c r="C13" s="100" t="s">
        <v>86</v>
      </c>
      <c r="D13" s="101" t="s">
        <v>87</v>
      </c>
      <c r="E13" s="101" t="s">
        <v>88</v>
      </c>
      <c r="F13" s="95" t="s">
        <v>50</v>
      </c>
      <c r="G13" s="98">
        <v>45767</v>
      </c>
      <c r="H13" s="95" t="s">
        <v>83</v>
      </c>
      <c r="I13" s="95" t="s">
        <v>50</v>
      </c>
      <c r="J13" s="98">
        <v>45767</v>
      </c>
      <c r="K13" s="95" t="s">
        <v>83</v>
      </c>
      <c r="L13" s="95" t="s">
        <v>50</v>
      </c>
      <c r="M13" s="98">
        <v>45770</v>
      </c>
      <c r="N13" s="95" t="s">
        <v>83</v>
      </c>
      <c r="O13" s="99"/>
      <c r="Q13" s="34"/>
    </row>
    <row r="14" spans="1:18" ht="51" outlineLevel="1">
      <c r="A14" s="95" t="s">
        <v>89</v>
      </c>
      <c r="B14" s="95" t="s">
        <v>90</v>
      </c>
      <c r="C14" s="95" t="s">
        <v>91</v>
      </c>
      <c r="D14" s="95" t="s">
        <v>92</v>
      </c>
      <c r="E14" s="95" t="s">
        <v>88</v>
      </c>
      <c r="F14" s="95" t="s">
        <v>51</v>
      </c>
      <c r="G14" s="98">
        <v>45767</v>
      </c>
      <c r="H14" s="95" t="s">
        <v>83</v>
      </c>
      <c r="I14" s="95" t="s">
        <v>51</v>
      </c>
      <c r="J14" s="98">
        <v>45767</v>
      </c>
      <c r="K14" s="95" t="s">
        <v>83</v>
      </c>
      <c r="L14" s="95" t="s">
        <v>50</v>
      </c>
      <c r="M14" s="98">
        <v>45770</v>
      </c>
      <c r="N14" s="95" t="s">
        <v>83</v>
      </c>
      <c r="O14" s="99"/>
      <c r="Q14" s="34"/>
    </row>
    <row r="15" spans="1:18" ht="25.5" outlineLevel="1">
      <c r="A15" s="95" t="s">
        <v>93</v>
      </c>
      <c r="B15" s="95" t="s">
        <v>94</v>
      </c>
      <c r="C15" s="95" t="s">
        <v>95</v>
      </c>
      <c r="D15" s="95" t="s">
        <v>96</v>
      </c>
      <c r="E15" s="95" t="s">
        <v>88</v>
      </c>
      <c r="F15" s="95" t="s">
        <v>50</v>
      </c>
      <c r="G15" s="98">
        <v>45767</v>
      </c>
      <c r="H15" s="102" t="s">
        <v>83</v>
      </c>
      <c r="I15" s="95" t="s">
        <v>50</v>
      </c>
      <c r="J15" s="98">
        <v>45767</v>
      </c>
      <c r="K15" s="102" t="s">
        <v>83</v>
      </c>
      <c r="L15" s="95" t="s">
        <v>50</v>
      </c>
      <c r="M15" s="98">
        <v>45770</v>
      </c>
      <c r="N15" s="95" t="s">
        <v>83</v>
      </c>
      <c r="O15" s="103"/>
      <c r="Q15" s="35"/>
    </row>
    <row r="16" spans="1:18" ht="25.5" outlineLevel="1">
      <c r="A16" s="95" t="s">
        <v>97</v>
      </c>
      <c r="B16" s="95" t="s">
        <v>98</v>
      </c>
      <c r="C16" s="95" t="s">
        <v>99</v>
      </c>
      <c r="D16" s="95" t="s">
        <v>100</v>
      </c>
      <c r="E16" s="95" t="s">
        <v>88</v>
      </c>
      <c r="F16" s="95" t="s">
        <v>50</v>
      </c>
      <c r="G16" s="98">
        <v>45767</v>
      </c>
      <c r="H16" s="95" t="s">
        <v>83</v>
      </c>
      <c r="I16" s="95" t="s">
        <v>50</v>
      </c>
      <c r="J16" s="98">
        <v>45767</v>
      </c>
      <c r="K16" s="95" t="s">
        <v>83</v>
      </c>
      <c r="L16" s="95" t="s">
        <v>50</v>
      </c>
      <c r="M16" s="98">
        <v>45770</v>
      </c>
      <c r="N16" s="95" t="s">
        <v>83</v>
      </c>
      <c r="O16" s="99"/>
      <c r="Q16" s="34"/>
    </row>
    <row r="17" spans="1:17" ht="25.5" outlineLevel="1">
      <c r="A17" s="95" t="s">
        <v>101</v>
      </c>
      <c r="B17" s="95" t="s">
        <v>102</v>
      </c>
      <c r="C17" s="95" t="s">
        <v>103</v>
      </c>
      <c r="D17" s="95" t="s">
        <v>104</v>
      </c>
      <c r="E17" s="95" t="s">
        <v>88</v>
      </c>
      <c r="F17" s="95" t="s">
        <v>50</v>
      </c>
      <c r="G17" s="98">
        <v>45767</v>
      </c>
      <c r="H17" s="95" t="s">
        <v>83</v>
      </c>
      <c r="I17" s="95" t="s">
        <v>50</v>
      </c>
      <c r="J17" s="98">
        <v>45767</v>
      </c>
      <c r="K17" s="95" t="s">
        <v>83</v>
      </c>
      <c r="L17" s="95" t="s">
        <v>50</v>
      </c>
      <c r="M17" s="98">
        <v>45770</v>
      </c>
      <c r="N17" s="95" t="s">
        <v>83</v>
      </c>
      <c r="O17" s="99"/>
      <c r="Q17" s="34"/>
    </row>
    <row r="18" spans="1:17" ht="51" outlineLevel="1">
      <c r="A18" s="95" t="s">
        <v>105</v>
      </c>
      <c r="B18" s="95" t="s">
        <v>106</v>
      </c>
      <c r="C18" s="95" t="s">
        <v>107</v>
      </c>
      <c r="D18" s="95" t="s">
        <v>108</v>
      </c>
      <c r="E18" s="95" t="s">
        <v>88</v>
      </c>
      <c r="F18" s="95" t="s">
        <v>50</v>
      </c>
      <c r="G18" s="98">
        <v>45767</v>
      </c>
      <c r="H18" s="95" t="s">
        <v>83</v>
      </c>
      <c r="I18" s="95" t="s">
        <v>50</v>
      </c>
      <c r="J18" s="98">
        <v>45767</v>
      </c>
      <c r="K18" s="95" t="s">
        <v>83</v>
      </c>
      <c r="L18" s="95" t="s">
        <v>50</v>
      </c>
      <c r="M18" s="98">
        <v>45770</v>
      </c>
      <c r="N18" s="95" t="s">
        <v>83</v>
      </c>
      <c r="O18" s="99"/>
      <c r="Q18" s="34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M19:M144 J2:J3 J9 G19:G144 M2:M3 M9 J19:J144 I12:I18 L12:L18 F12:F18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3BEE-5899-4077-B9A6-07A7CA4FF4D8}">
  <sheetPr>
    <outlinePr summaryBelow="0" summaryRight="0"/>
  </sheetPr>
  <dimension ref="A2:O19"/>
  <sheetViews>
    <sheetView topLeftCell="D1" zoomScale="85" zoomScaleNormal="85" workbookViewId="0">
      <pane ySplit="9" topLeftCell="A10" activePane="bottomLeft" state="frozen"/>
      <selection pane="bottomLeft" activeCell="B11" sqref="B11"/>
    </sheetView>
  </sheetViews>
  <sheetFormatPr defaultColWidth="9" defaultRowHeight="12.75" outlineLevelRow="1" outlineLevelCol="1"/>
  <cols>
    <col min="1" max="1" width="20" style="12" customWidth="1"/>
    <col min="2" max="2" width="34.42578125" style="12" customWidth="1"/>
    <col min="3" max="3" width="33.28515625" style="12" customWidth="1"/>
    <col min="4" max="4" width="34.7109375" style="12" customWidth="1"/>
    <col min="5" max="5" width="28.28515625" style="12" customWidth="1"/>
    <col min="6" max="6" width="8.5703125" style="12" bestFit="1" customWidth="1"/>
    <col min="7" max="7" width="11.140625" style="12" bestFit="1" customWidth="1" outlineLevel="1"/>
    <col min="8" max="8" width="6.7109375" style="12" bestFit="1" customWidth="1" outlineLevel="1"/>
    <col min="9" max="9" width="8.5703125" style="12" bestFit="1" customWidth="1"/>
    <col min="10" max="10" width="11.140625" style="12" bestFit="1" customWidth="1" outlineLevel="1"/>
    <col min="11" max="11" width="6.7109375" style="12" bestFit="1" customWidth="1" outlineLevel="1"/>
    <col min="12" max="12" width="26" style="12" bestFit="1" customWidth="1"/>
    <col min="13" max="13" width="10.140625" style="12" customWidth="1"/>
    <col min="14" max="14" width="8.140625" style="124" customWidth="1"/>
    <col min="15" max="15" width="7.7109375" style="12" hidden="1" customWidth="1"/>
    <col min="16" max="16384" width="9" style="12"/>
  </cols>
  <sheetData>
    <row r="2" spans="1:15" s="118" customFormat="1" ht="15" customHeight="1">
      <c r="A2" s="104" t="s">
        <v>61</v>
      </c>
      <c r="B2" s="170" t="s">
        <v>38</v>
      </c>
      <c r="C2" s="170"/>
      <c r="D2" s="170"/>
      <c r="E2" s="171"/>
      <c r="F2" s="110"/>
      <c r="G2" s="111"/>
      <c r="H2" s="112"/>
      <c r="I2" s="110"/>
      <c r="J2" s="111"/>
      <c r="K2" s="112"/>
      <c r="L2" s="112"/>
      <c r="M2" s="116"/>
      <c r="N2" s="117"/>
      <c r="O2" s="118" t="s">
        <v>50</v>
      </c>
    </row>
    <row r="3" spans="1:15" s="118" customFormat="1">
      <c r="A3" s="105" t="s">
        <v>63</v>
      </c>
      <c r="B3" s="172" t="s">
        <v>109</v>
      </c>
      <c r="C3" s="172"/>
      <c r="D3" s="172"/>
      <c r="E3" s="173"/>
      <c r="F3" s="110"/>
      <c r="G3" s="111"/>
      <c r="H3" s="112"/>
      <c r="I3" s="110"/>
      <c r="J3" s="111"/>
      <c r="K3" s="112"/>
      <c r="L3" s="112"/>
      <c r="M3" s="116"/>
      <c r="N3" s="117"/>
      <c r="O3" s="118" t="s">
        <v>51</v>
      </c>
    </row>
    <row r="4" spans="1:15" s="118" customFormat="1" ht="18" customHeight="1">
      <c r="A4" s="105" t="s">
        <v>65</v>
      </c>
      <c r="B4" s="172">
        <f>COUNTA(A10:A997)</f>
        <v>10</v>
      </c>
      <c r="C4" s="172"/>
      <c r="D4" s="172"/>
      <c r="E4" s="173"/>
      <c r="F4" s="110"/>
      <c r="G4" s="111"/>
      <c r="H4" s="112"/>
      <c r="I4" s="110"/>
      <c r="J4" s="111"/>
      <c r="K4" s="112"/>
      <c r="L4" s="112"/>
      <c r="M4" s="116"/>
      <c r="N4" s="117"/>
      <c r="O4" s="118" t="s">
        <v>52</v>
      </c>
    </row>
    <row r="5" spans="1:15" s="118" customFormat="1" ht="19.5" customHeight="1">
      <c r="A5" s="106" t="s">
        <v>66</v>
      </c>
      <c r="B5" s="107" t="s">
        <v>50</v>
      </c>
      <c r="C5" s="107" t="s">
        <v>51</v>
      </c>
      <c r="D5" s="107" t="s">
        <v>52</v>
      </c>
      <c r="E5" s="113" t="s">
        <v>53</v>
      </c>
      <c r="F5" s="51"/>
      <c r="G5" s="51"/>
      <c r="H5" s="109"/>
      <c r="I5" s="51"/>
      <c r="J5" s="51"/>
      <c r="K5" s="109"/>
      <c r="L5" s="109"/>
      <c r="M5" s="109"/>
      <c r="N5" s="119"/>
      <c r="O5" s="118" t="s">
        <v>53</v>
      </c>
    </row>
    <row r="6" spans="1:15" s="118" customFormat="1" ht="15" customHeight="1">
      <c r="A6" s="106" t="s">
        <v>67</v>
      </c>
      <c r="B6" s="108">
        <f>COUNTIF($F9:$F995,B5)</f>
        <v>10</v>
      </c>
      <c r="C6" s="108">
        <f>COUNTIF($F9:$F995,C5)</f>
        <v>0</v>
      </c>
      <c r="D6" s="108">
        <f>COUNTIF($F9:$F995,D5)</f>
        <v>0</v>
      </c>
      <c r="E6" s="114">
        <f>COUNTIF($F9:$F995,E5)</f>
        <v>0</v>
      </c>
      <c r="F6" s="52"/>
      <c r="G6" s="52"/>
      <c r="H6" s="109"/>
      <c r="I6" s="52"/>
      <c r="J6" s="52"/>
      <c r="K6" s="109"/>
      <c r="L6" s="109"/>
      <c r="M6" s="109"/>
      <c r="N6" s="119"/>
    </row>
    <row r="7" spans="1:15" s="118" customFormat="1" ht="15" customHeight="1">
      <c r="A7" s="106" t="s">
        <v>68</v>
      </c>
      <c r="B7" s="108">
        <f>COUNTIF($I9:$I995,B5)</f>
        <v>10</v>
      </c>
      <c r="C7" s="108">
        <f t="shared" ref="C7:E7" si="0">COUNTIF($I9:$I995,C5)</f>
        <v>0</v>
      </c>
      <c r="D7" s="108">
        <f t="shared" si="0"/>
        <v>0</v>
      </c>
      <c r="E7" s="108">
        <f t="shared" si="0"/>
        <v>0</v>
      </c>
      <c r="F7" s="52"/>
      <c r="G7" s="52"/>
      <c r="H7" s="109"/>
      <c r="I7" s="52"/>
      <c r="J7" s="52"/>
      <c r="K7" s="109"/>
      <c r="L7" s="109"/>
      <c r="M7" s="109"/>
      <c r="N7" s="119"/>
    </row>
    <row r="8" spans="1:15" s="118" customFormat="1" ht="15" customHeight="1">
      <c r="A8" s="109"/>
      <c r="B8" s="109"/>
      <c r="C8" s="109"/>
      <c r="D8" s="109"/>
      <c r="E8" s="109"/>
      <c r="F8" s="52"/>
      <c r="G8" s="109"/>
      <c r="H8" s="109"/>
      <c r="I8" s="52"/>
      <c r="J8" s="109"/>
      <c r="K8" s="109"/>
      <c r="L8" s="109"/>
      <c r="M8" s="109"/>
      <c r="N8" s="119"/>
    </row>
    <row r="9" spans="1:15" s="149" customFormat="1" ht="25.5" customHeight="1">
      <c r="A9" s="93" t="s">
        <v>70</v>
      </c>
      <c r="B9" s="93" t="s">
        <v>71</v>
      </c>
      <c r="C9" s="93" t="s">
        <v>72</v>
      </c>
      <c r="D9" s="93" t="s">
        <v>73</v>
      </c>
      <c r="E9" s="93" t="s">
        <v>74</v>
      </c>
      <c r="F9" s="93" t="s">
        <v>67</v>
      </c>
      <c r="G9" s="93" t="s">
        <v>75</v>
      </c>
      <c r="H9" s="93" t="s">
        <v>76</v>
      </c>
      <c r="I9" s="93" t="s">
        <v>68</v>
      </c>
      <c r="J9" s="93" t="s">
        <v>75</v>
      </c>
      <c r="K9" s="93" t="s">
        <v>76</v>
      </c>
      <c r="L9" s="93" t="s">
        <v>77</v>
      </c>
      <c r="N9" s="32"/>
    </row>
    <row r="10" spans="1:15" s="118" customFormat="1" ht="57">
      <c r="A10" s="130" t="s">
        <v>78</v>
      </c>
      <c r="B10" s="131" t="s">
        <v>110</v>
      </c>
      <c r="C10" s="131" t="s">
        <v>111</v>
      </c>
      <c r="D10" s="131" t="s">
        <v>112</v>
      </c>
      <c r="E10" s="131" t="s">
        <v>113</v>
      </c>
      <c r="F10" s="140" t="s">
        <v>50</v>
      </c>
      <c r="G10" s="132">
        <v>45771</v>
      </c>
      <c r="H10" s="130" t="s">
        <v>114</v>
      </c>
      <c r="I10" s="140" t="s">
        <v>50</v>
      </c>
      <c r="J10" s="132">
        <v>45774</v>
      </c>
      <c r="K10" s="130" t="s">
        <v>114</v>
      </c>
      <c r="L10" s="130" t="s">
        <v>115</v>
      </c>
      <c r="N10" s="139"/>
    </row>
    <row r="11" spans="1:15" s="118" customFormat="1" ht="57" outlineLevel="1">
      <c r="A11" s="130" t="s">
        <v>84</v>
      </c>
      <c r="B11" s="131" t="s">
        <v>116</v>
      </c>
      <c r="C11" s="131" t="s">
        <v>117</v>
      </c>
      <c r="D11" s="131" t="s">
        <v>118</v>
      </c>
      <c r="E11" s="131" t="s">
        <v>119</v>
      </c>
      <c r="F11" s="140" t="s">
        <v>50</v>
      </c>
      <c r="G11" s="132">
        <v>45771</v>
      </c>
      <c r="H11" s="130" t="s">
        <v>114</v>
      </c>
      <c r="I11" s="140" t="s">
        <v>50</v>
      </c>
      <c r="J11" s="132">
        <v>45774</v>
      </c>
      <c r="K11" s="130" t="s">
        <v>114</v>
      </c>
      <c r="L11" s="130" t="s">
        <v>120</v>
      </c>
      <c r="N11" s="122"/>
    </row>
    <row r="12" spans="1:15" ht="42.75" outlineLevel="1">
      <c r="A12" s="130" t="s">
        <v>89</v>
      </c>
      <c r="B12" s="131" t="s">
        <v>121</v>
      </c>
      <c r="C12" s="131" t="s">
        <v>122</v>
      </c>
      <c r="D12" s="131" t="s">
        <v>123</v>
      </c>
      <c r="E12" s="131" t="s">
        <v>124</v>
      </c>
      <c r="F12" s="140" t="s">
        <v>50</v>
      </c>
      <c r="G12" s="132">
        <v>45771</v>
      </c>
      <c r="H12" s="130" t="s">
        <v>114</v>
      </c>
      <c r="I12" s="140" t="s">
        <v>50</v>
      </c>
      <c r="J12" s="132">
        <v>45774</v>
      </c>
      <c r="K12" s="130" t="s">
        <v>114</v>
      </c>
      <c r="L12" s="130" t="s">
        <v>125</v>
      </c>
      <c r="N12" s="122"/>
    </row>
    <row r="13" spans="1:15" ht="42.75" outlineLevel="1">
      <c r="A13" s="130" t="s">
        <v>93</v>
      </c>
      <c r="B13" s="131" t="s">
        <v>126</v>
      </c>
      <c r="C13" s="131" t="s">
        <v>127</v>
      </c>
      <c r="D13" s="131" t="s">
        <v>128</v>
      </c>
      <c r="E13" s="131" t="s">
        <v>129</v>
      </c>
      <c r="F13" s="140" t="s">
        <v>50</v>
      </c>
      <c r="G13" s="132">
        <v>45771</v>
      </c>
      <c r="H13" s="130" t="s">
        <v>114</v>
      </c>
      <c r="I13" s="140" t="s">
        <v>50</v>
      </c>
      <c r="J13" s="132">
        <v>45774</v>
      </c>
      <c r="K13" s="130" t="s">
        <v>114</v>
      </c>
      <c r="L13" s="130" t="s">
        <v>130</v>
      </c>
      <c r="N13" s="122"/>
    </row>
    <row r="14" spans="1:15" s="118" customFormat="1" ht="42.75">
      <c r="A14" s="130" t="s">
        <v>97</v>
      </c>
      <c r="B14" s="131" t="s">
        <v>131</v>
      </c>
      <c r="C14" s="131" t="s">
        <v>132</v>
      </c>
      <c r="D14" s="131" t="s">
        <v>133</v>
      </c>
      <c r="E14" s="131" t="s">
        <v>134</v>
      </c>
      <c r="F14" s="140" t="s">
        <v>50</v>
      </c>
      <c r="G14" s="132">
        <v>45771</v>
      </c>
      <c r="H14" s="130" t="s">
        <v>114</v>
      </c>
      <c r="I14" s="140" t="s">
        <v>50</v>
      </c>
      <c r="J14" s="132">
        <v>45774</v>
      </c>
      <c r="K14" s="130" t="s">
        <v>114</v>
      </c>
      <c r="L14" s="130" t="s">
        <v>135</v>
      </c>
      <c r="N14" s="139"/>
    </row>
    <row r="15" spans="1:15" ht="57" outlineLevel="1">
      <c r="A15" s="130" t="s">
        <v>101</v>
      </c>
      <c r="B15" s="131" t="s">
        <v>136</v>
      </c>
      <c r="C15" s="131" t="s">
        <v>137</v>
      </c>
      <c r="D15" s="131" t="s">
        <v>138</v>
      </c>
      <c r="E15" s="131" t="s">
        <v>139</v>
      </c>
      <c r="F15" s="140" t="s">
        <v>50</v>
      </c>
      <c r="G15" s="132">
        <v>45771</v>
      </c>
      <c r="H15" s="130" t="s">
        <v>114</v>
      </c>
      <c r="I15" s="140" t="s">
        <v>50</v>
      </c>
      <c r="J15" s="132">
        <v>45774</v>
      </c>
      <c r="K15" s="130" t="s">
        <v>114</v>
      </c>
      <c r="L15" s="130" t="s">
        <v>140</v>
      </c>
      <c r="N15" s="122"/>
    </row>
    <row r="16" spans="1:15" ht="28.5" outlineLevel="1">
      <c r="A16" s="130" t="s">
        <v>105</v>
      </c>
      <c r="B16" s="131" t="s">
        <v>141</v>
      </c>
      <c r="C16" s="131" t="s">
        <v>142</v>
      </c>
      <c r="D16" s="131" t="s">
        <v>143</v>
      </c>
      <c r="E16" s="131" t="s">
        <v>144</v>
      </c>
      <c r="F16" s="140" t="s">
        <v>50</v>
      </c>
      <c r="G16" s="132">
        <v>45771</v>
      </c>
      <c r="H16" s="130" t="s">
        <v>114</v>
      </c>
      <c r="I16" s="140" t="s">
        <v>50</v>
      </c>
      <c r="J16" s="132">
        <v>45774</v>
      </c>
      <c r="K16" s="130" t="s">
        <v>114</v>
      </c>
      <c r="L16" s="130" t="s">
        <v>145</v>
      </c>
      <c r="N16" s="123"/>
    </row>
    <row r="17" spans="1:12" ht="42.75">
      <c r="A17" s="130" t="s">
        <v>146</v>
      </c>
      <c r="B17" s="131" t="s">
        <v>147</v>
      </c>
      <c r="C17" s="131" t="s">
        <v>148</v>
      </c>
      <c r="D17" s="131" t="s">
        <v>149</v>
      </c>
      <c r="E17" s="131" t="s">
        <v>150</v>
      </c>
      <c r="F17" s="140" t="s">
        <v>50</v>
      </c>
      <c r="G17" s="132">
        <v>45771</v>
      </c>
      <c r="H17" s="130" t="s">
        <v>114</v>
      </c>
      <c r="I17" s="140" t="s">
        <v>50</v>
      </c>
      <c r="J17" s="132">
        <v>45774</v>
      </c>
      <c r="K17" s="130" t="s">
        <v>114</v>
      </c>
      <c r="L17" s="130" t="s">
        <v>151</v>
      </c>
    </row>
    <row r="18" spans="1:12" ht="57">
      <c r="A18" s="130" t="s">
        <v>152</v>
      </c>
      <c r="B18" s="131" t="s">
        <v>153</v>
      </c>
      <c r="C18" s="131" t="s">
        <v>154</v>
      </c>
      <c r="D18" s="131" t="s">
        <v>155</v>
      </c>
      <c r="E18" s="131" t="s">
        <v>156</v>
      </c>
      <c r="F18" s="140" t="s">
        <v>50</v>
      </c>
      <c r="G18" s="132">
        <v>45771</v>
      </c>
      <c r="H18" s="130" t="s">
        <v>114</v>
      </c>
      <c r="I18" s="140" t="s">
        <v>50</v>
      </c>
      <c r="J18" s="132">
        <v>45774</v>
      </c>
      <c r="K18" s="130" t="s">
        <v>114</v>
      </c>
      <c r="L18" s="130" t="s">
        <v>157</v>
      </c>
    </row>
    <row r="19" spans="1:12" ht="57">
      <c r="A19" s="130" t="s">
        <v>158</v>
      </c>
      <c r="B19" s="131" t="s">
        <v>159</v>
      </c>
      <c r="C19" s="131" t="s">
        <v>160</v>
      </c>
      <c r="D19" s="131" t="s">
        <v>161</v>
      </c>
      <c r="E19" s="131" t="s">
        <v>162</v>
      </c>
      <c r="F19" s="140" t="s">
        <v>50</v>
      </c>
      <c r="G19" s="132">
        <v>45771</v>
      </c>
      <c r="H19" s="130" t="s">
        <v>114</v>
      </c>
      <c r="I19" s="140" t="s">
        <v>50</v>
      </c>
      <c r="J19" s="132">
        <v>45774</v>
      </c>
      <c r="K19" s="130" t="s">
        <v>114</v>
      </c>
      <c r="L19" s="130" t="s">
        <v>163</v>
      </c>
    </row>
  </sheetData>
  <mergeCells count="3">
    <mergeCell ref="B2:E2"/>
    <mergeCell ref="B3:E3"/>
    <mergeCell ref="B4:E4"/>
  </mergeCells>
  <dataValidations count="2">
    <dataValidation type="list" allowBlank="1" showErrorMessage="1" sqref="G2:G3 G8 J8 J20:J144 J2:J3 G20:G144" xr:uid="{CFF43304-B848-4B14-A763-D2C79ADBFCFC}">
      <formula1>$O$2:$O$5</formula1>
      <formula2>0</formula2>
    </dataValidation>
    <dataValidation allowBlank="1" showErrorMessage="1" sqref="F9 I9" xr:uid="{4B8FDB48-7CDA-47EC-962D-DFA3D6280AA0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2:O18"/>
  <sheetViews>
    <sheetView zoomScale="85" zoomScaleNormal="85" workbookViewId="0">
      <pane ySplit="9" topLeftCell="A15" activePane="bottomLeft" state="frozen"/>
      <selection pane="bottomLeft" activeCell="I18" sqref="I18"/>
    </sheetView>
  </sheetViews>
  <sheetFormatPr defaultColWidth="9" defaultRowHeight="12.75" outlineLevelRow="1" outlineLevelCol="1"/>
  <cols>
    <col min="1" max="1" width="17" style="116" customWidth="1"/>
    <col min="2" max="2" width="41.140625" style="116" bestFit="1" customWidth="1"/>
    <col min="3" max="3" width="33.28515625" style="116" customWidth="1"/>
    <col min="4" max="4" width="34.7109375" style="116" customWidth="1"/>
    <col min="5" max="5" width="28.28515625" style="116" customWidth="1"/>
    <col min="6" max="6" width="9.28515625" style="116" customWidth="1"/>
    <col min="7" max="7" width="10.7109375" style="116" customWidth="1" outlineLevel="1"/>
    <col min="8" max="8" width="7" style="116" bestFit="1" customWidth="1" outlineLevel="1"/>
    <col min="9" max="9" width="9.28515625" style="116" customWidth="1"/>
    <col min="10" max="10" width="10.7109375" style="116" customWidth="1" outlineLevel="1"/>
    <col min="11" max="11" width="7" style="116" bestFit="1" customWidth="1" outlineLevel="1"/>
    <col min="12" max="12" width="28.7109375" style="116" customWidth="1"/>
    <col min="13" max="13" width="10.140625" style="12" customWidth="1"/>
    <col min="14" max="14" width="8.140625" style="124" customWidth="1"/>
    <col min="15" max="15" width="7.7109375" style="12" hidden="1" customWidth="1"/>
    <col min="16" max="16384" width="9" style="12"/>
  </cols>
  <sheetData>
    <row r="2" spans="1:15" s="118" customFormat="1" ht="15" customHeight="1">
      <c r="A2" s="104" t="s">
        <v>61</v>
      </c>
      <c r="B2" s="170" t="s">
        <v>164</v>
      </c>
      <c r="C2" s="170"/>
      <c r="D2" s="170"/>
      <c r="E2" s="171"/>
      <c r="F2" s="110"/>
      <c r="G2" s="111"/>
      <c r="H2" s="112"/>
      <c r="I2" s="110"/>
      <c r="J2" s="111"/>
      <c r="K2" s="112"/>
      <c r="L2" s="112"/>
      <c r="M2" s="116"/>
      <c r="N2" s="117"/>
      <c r="O2" s="118" t="s">
        <v>50</v>
      </c>
    </row>
    <row r="3" spans="1:15" s="118" customFormat="1">
      <c r="A3" s="105" t="s">
        <v>63</v>
      </c>
      <c r="B3" s="172" t="s">
        <v>165</v>
      </c>
      <c r="C3" s="172"/>
      <c r="D3" s="172"/>
      <c r="E3" s="173"/>
      <c r="F3" s="110"/>
      <c r="G3" s="111"/>
      <c r="H3" s="112"/>
      <c r="I3" s="110"/>
      <c r="J3" s="111"/>
      <c r="K3" s="112"/>
      <c r="L3" s="112"/>
      <c r="M3" s="116"/>
      <c r="N3" s="117"/>
      <c r="O3" s="118" t="s">
        <v>51</v>
      </c>
    </row>
    <row r="4" spans="1:15" s="118" customFormat="1" ht="18" customHeight="1">
      <c r="A4" s="105" t="s">
        <v>65</v>
      </c>
      <c r="B4" s="172">
        <v>7</v>
      </c>
      <c r="C4" s="172"/>
      <c r="D4" s="172"/>
      <c r="E4" s="173"/>
      <c r="F4" s="110"/>
      <c r="G4" s="111"/>
      <c r="H4" s="112"/>
      <c r="I4" s="110"/>
      <c r="J4" s="111"/>
      <c r="K4" s="112"/>
      <c r="L4" s="112"/>
      <c r="M4" s="116"/>
      <c r="N4" s="117"/>
      <c r="O4" s="118" t="s">
        <v>52</v>
      </c>
    </row>
    <row r="5" spans="1:15" s="118" customFormat="1" ht="19.5" customHeight="1">
      <c r="A5" s="106" t="s">
        <v>66</v>
      </c>
      <c r="B5" s="107" t="s">
        <v>50</v>
      </c>
      <c r="C5" s="107" t="s">
        <v>51</v>
      </c>
      <c r="D5" s="107" t="s">
        <v>52</v>
      </c>
      <c r="E5" s="113" t="s">
        <v>53</v>
      </c>
      <c r="F5" s="51"/>
      <c r="G5" s="51"/>
      <c r="H5" s="109"/>
      <c r="I5" s="51"/>
      <c r="J5" s="51"/>
      <c r="K5" s="109"/>
      <c r="L5" s="109"/>
      <c r="M5" s="109"/>
      <c r="N5" s="119"/>
      <c r="O5" s="118" t="s">
        <v>53</v>
      </c>
    </row>
    <row r="6" spans="1:15" s="118" customFormat="1" ht="15" customHeight="1">
      <c r="A6" s="106" t="s">
        <v>67</v>
      </c>
      <c r="B6" s="108">
        <f>COUNTIF($F9:$F997,B5)</f>
        <v>5</v>
      </c>
      <c r="C6" s="108">
        <f>COUNTIF($F9:$F997,C5)</f>
        <v>2</v>
      </c>
      <c r="D6" s="108">
        <f>COUNTIF($F9:$F997,D5)</f>
        <v>0</v>
      </c>
      <c r="E6" s="114">
        <f>COUNTIF($F9:$F997,E5)</f>
        <v>0</v>
      </c>
      <c r="F6" s="52"/>
      <c r="G6" s="52"/>
      <c r="H6" s="109"/>
      <c r="I6" s="52"/>
      <c r="J6" s="52"/>
      <c r="K6" s="109"/>
      <c r="L6" s="109"/>
      <c r="M6" s="109"/>
      <c r="N6" s="119"/>
    </row>
    <row r="7" spans="1:15" s="118" customFormat="1" ht="15" customHeight="1">
      <c r="A7" s="106" t="s">
        <v>68</v>
      </c>
      <c r="B7" s="108">
        <f>COUNTIF($I9:$I997,B5)</f>
        <v>7</v>
      </c>
      <c r="C7" s="108">
        <f>COUNTIF($I9:$I997,C5)</f>
        <v>0</v>
      </c>
      <c r="D7" s="108">
        <f>COUNTIF($I9:$I997,D5)</f>
        <v>0</v>
      </c>
      <c r="E7" s="108">
        <f>COUNTIF($I9:$I997,E5)</f>
        <v>0</v>
      </c>
      <c r="F7" s="52"/>
      <c r="G7" s="52"/>
      <c r="H7" s="109"/>
      <c r="I7" s="52"/>
      <c r="J7" s="52"/>
      <c r="K7" s="109"/>
      <c r="L7" s="109"/>
      <c r="M7" s="109"/>
      <c r="N7" s="119"/>
    </row>
    <row r="8" spans="1:15" s="118" customFormat="1" ht="15" customHeight="1">
      <c r="A8" s="109"/>
      <c r="B8" s="109"/>
      <c r="C8" s="109"/>
      <c r="D8" s="109"/>
      <c r="E8" s="109"/>
      <c r="F8" s="52"/>
      <c r="G8" s="109"/>
      <c r="H8" s="109"/>
      <c r="I8" s="52"/>
      <c r="J8" s="109"/>
      <c r="K8" s="109"/>
      <c r="L8" s="109"/>
      <c r="M8" s="109"/>
      <c r="N8" s="119"/>
    </row>
    <row r="9" spans="1:15" s="149" customFormat="1" ht="25.5" customHeight="1">
      <c r="A9" s="54" t="s">
        <v>70</v>
      </c>
      <c r="B9" s="54" t="s">
        <v>71</v>
      </c>
      <c r="C9" s="54" t="s">
        <v>72</v>
      </c>
      <c r="D9" s="54" t="s">
        <v>73</v>
      </c>
      <c r="E9" s="54" t="s">
        <v>74</v>
      </c>
      <c r="F9" s="54" t="s">
        <v>67</v>
      </c>
      <c r="G9" s="54" t="s">
        <v>75</v>
      </c>
      <c r="H9" s="54" t="s">
        <v>76</v>
      </c>
      <c r="I9" s="54" t="s">
        <v>68</v>
      </c>
      <c r="J9" s="54" t="s">
        <v>75</v>
      </c>
      <c r="K9" s="54" t="s">
        <v>76</v>
      </c>
      <c r="L9" s="54" t="s">
        <v>77</v>
      </c>
      <c r="N9" s="32"/>
    </row>
    <row r="10" spans="1:15" s="118" customFormat="1" ht="15.75" customHeight="1">
      <c r="A10" s="141" t="s">
        <v>166</v>
      </c>
      <c r="B10" s="141"/>
      <c r="C10" s="142"/>
      <c r="D10" s="142"/>
      <c r="E10" s="142"/>
      <c r="F10" s="142"/>
      <c r="G10" s="142"/>
      <c r="H10" s="142"/>
      <c r="I10" s="142"/>
      <c r="J10" s="142"/>
      <c r="K10" s="142"/>
      <c r="L10" s="143"/>
      <c r="N10" s="139"/>
    </row>
    <row r="11" spans="1:15" s="118" customFormat="1" ht="153.75" customHeight="1" outlineLevel="1">
      <c r="A11" s="125" t="s">
        <v>167</v>
      </c>
      <c r="B11" s="128" t="s">
        <v>168</v>
      </c>
      <c r="C11" s="128" t="s">
        <v>169</v>
      </c>
      <c r="D11" s="129" t="s">
        <v>170</v>
      </c>
      <c r="E11" s="129" t="s">
        <v>171</v>
      </c>
      <c r="F11" s="125" t="s">
        <v>50</v>
      </c>
      <c r="G11" s="126">
        <v>45771</v>
      </c>
      <c r="H11" s="125" t="s">
        <v>172</v>
      </c>
      <c r="I11" s="125" t="s">
        <v>50</v>
      </c>
      <c r="J11" s="126">
        <v>45772</v>
      </c>
      <c r="K11" s="125" t="s">
        <v>172</v>
      </c>
      <c r="L11" s="127"/>
      <c r="N11" s="122"/>
    </row>
    <row r="12" spans="1:15" s="118" customFormat="1" ht="103.5" customHeight="1" outlineLevel="1">
      <c r="A12" s="125" t="s">
        <v>173</v>
      </c>
      <c r="B12" s="128" t="s">
        <v>174</v>
      </c>
      <c r="C12" s="128" t="s">
        <v>175</v>
      </c>
      <c r="D12" s="144" t="s">
        <v>176</v>
      </c>
      <c r="E12" s="129" t="s">
        <v>177</v>
      </c>
      <c r="F12" s="125" t="s">
        <v>51</v>
      </c>
      <c r="G12" s="126">
        <v>45771</v>
      </c>
      <c r="H12" s="125" t="s">
        <v>172</v>
      </c>
      <c r="I12" s="125" t="s">
        <v>50</v>
      </c>
      <c r="J12" s="126">
        <v>45772</v>
      </c>
      <c r="K12" s="125" t="s">
        <v>172</v>
      </c>
      <c r="L12" s="127" t="s">
        <v>178</v>
      </c>
      <c r="N12" s="122"/>
    </row>
    <row r="13" spans="1:15" s="118" customFormat="1" ht="78.75" customHeight="1" outlineLevel="1">
      <c r="A13" s="125" t="s">
        <v>179</v>
      </c>
      <c r="B13" s="144" t="s">
        <v>180</v>
      </c>
      <c r="C13" s="128" t="s">
        <v>181</v>
      </c>
      <c r="D13" s="128" t="s">
        <v>182</v>
      </c>
      <c r="E13" s="128" t="s">
        <v>183</v>
      </c>
      <c r="F13" s="125" t="s">
        <v>50</v>
      </c>
      <c r="G13" s="126">
        <v>45771</v>
      </c>
      <c r="H13" s="125" t="s">
        <v>172</v>
      </c>
      <c r="I13" s="125" t="s">
        <v>50</v>
      </c>
      <c r="J13" s="126">
        <v>45772</v>
      </c>
      <c r="K13" s="125" t="s">
        <v>172</v>
      </c>
      <c r="L13" s="127"/>
      <c r="N13" s="122"/>
    </row>
    <row r="14" spans="1:15" s="118" customFormat="1" ht="76.5" outlineLevel="1">
      <c r="A14" s="125" t="s">
        <v>184</v>
      </c>
      <c r="B14" s="128" t="s">
        <v>185</v>
      </c>
      <c r="C14" s="128" t="s">
        <v>186</v>
      </c>
      <c r="D14" s="144" t="s">
        <v>187</v>
      </c>
      <c r="E14" s="129" t="s">
        <v>188</v>
      </c>
      <c r="F14" s="125" t="s">
        <v>51</v>
      </c>
      <c r="G14" s="126">
        <v>45771</v>
      </c>
      <c r="H14" s="125" t="s">
        <v>172</v>
      </c>
      <c r="I14" s="125" t="s">
        <v>50</v>
      </c>
      <c r="J14" s="126">
        <v>45772</v>
      </c>
      <c r="K14" s="125" t="s">
        <v>172</v>
      </c>
      <c r="L14" s="127"/>
      <c r="N14" s="122"/>
    </row>
    <row r="15" spans="1:15" s="118" customFormat="1" ht="51" outlineLevel="1">
      <c r="A15" s="125" t="s">
        <v>189</v>
      </c>
      <c r="B15" s="128" t="s">
        <v>190</v>
      </c>
      <c r="C15" s="128" t="s">
        <v>191</v>
      </c>
      <c r="D15" s="144" t="s">
        <v>192</v>
      </c>
      <c r="E15" s="129" t="s">
        <v>193</v>
      </c>
      <c r="F15" s="125" t="s">
        <v>50</v>
      </c>
      <c r="G15" s="126">
        <v>45771</v>
      </c>
      <c r="H15" s="125" t="s">
        <v>172</v>
      </c>
      <c r="I15" s="125" t="s">
        <v>50</v>
      </c>
      <c r="J15" s="126">
        <v>45772</v>
      </c>
      <c r="K15" s="125" t="s">
        <v>172</v>
      </c>
      <c r="L15" s="127"/>
      <c r="N15" s="122"/>
    </row>
    <row r="16" spans="1:15" s="118" customFormat="1" ht="25.5">
      <c r="A16" s="145" t="s">
        <v>40</v>
      </c>
      <c r="B16" s="145"/>
      <c r="C16" s="146"/>
      <c r="D16" s="146"/>
      <c r="E16" s="146"/>
      <c r="F16" s="146"/>
      <c r="G16" s="146"/>
      <c r="H16" s="146"/>
      <c r="I16" s="146"/>
      <c r="J16" s="146"/>
      <c r="K16" s="146"/>
      <c r="L16" s="147"/>
      <c r="N16" s="139"/>
    </row>
    <row r="17" spans="1:14" ht="89.25" outlineLevel="1">
      <c r="A17" s="148" t="s">
        <v>194</v>
      </c>
      <c r="B17" s="120" t="s">
        <v>195</v>
      </c>
      <c r="C17" s="120" t="s">
        <v>196</v>
      </c>
      <c r="D17" s="120" t="s">
        <v>197</v>
      </c>
      <c r="E17" s="120" t="s">
        <v>198</v>
      </c>
      <c r="F17" s="120" t="s">
        <v>50</v>
      </c>
      <c r="G17" s="126">
        <v>45771</v>
      </c>
      <c r="H17" s="125" t="s">
        <v>172</v>
      </c>
      <c r="I17" s="120" t="s">
        <v>50</v>
      </c>
      <c r="J17" s="126">
        <v>45772</v>
      </c>
      <c r="K17" s="125" t="s">
        <v>172</v>
      </c>
      <c r="L17" s="121"/>
      <c r="N17" s="122"/>
    </row>
    <row r="18" spans="1:14" ht="50.25" outlineLevel="1">
      <c r="A18" s="120" t="s">
        <v>199</v>
      </c>
      <c r="B18" s="120" t="s">
        <v>200</v>
      </c>
      <c r="C18" s="120" t="s">
        <v>201</v>
      </c>
      <c r="D18" s="120" t="s">
        <v>202</v>
      </c>
      <c r="E18" s="120" t="s">
        <v>203</v>
      </c>
      <c r="F18" s="120" t="s">
        <v>50</v>
      </c>
      <c r="G18" s="126">
        <v>45771</v>
      </c>
      <c r="H18" s="125" t="s">
        <v>172</v>
      </c>
      <c r="I18" s="120" t="s">
        <v>50</v>
      </c>
      <c r="J18" s="126">
        <v>45772</v>
      </c>
      <c r="K18" s="125" t="s">
        <v>172</v>
      </c>
      <c r="L18" s="121"/>
      <c r="N18" s="123"/>
    </row>
  </sheetData>
  <mergeCells count="3">
    <mergeCell ref="B2:E2"/>
    <mergeCell ref="B3:E3"/>
    <mergeCell ref="B4:E4"/>
  </mergeCells>
  <dataValidations count="2">
    <dataValidation allowBlank="1" showErrorMessage="1" sqref="F9 I9" xr:uid="{BA601D90-C760-2A4B-9DCB-05D64CA1BA46}"/>
    <dataValidation type="list" allowBlank="1" showErrorMessage="1" sqref="G2:G3 G8 G19:G146 J2:J3 J8 J19:J146 F11:F18 I11:I18" xr:uid="{CEBB1DD6-5D0C-9A4C-93A4-3065C1A7F369}">
      <formula1>$O$2:$O$5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1569-4654-492B-9125-B13388351EFD}">
  <dimension ref="A2:O21"/>
  <sheetViews>
    <sheetView workbookViewId="0">
      <selection activeCell="B4" sqref="B4:E4"/>
    </sheetView>
  </sheetViews>
  <sheetFormatPr defaultColWidth="9" defaultRowHeight="12.75" outlineLevelRow="1" outlineLevelCol="1"/>
  <cols>
    <col min="1" max="1" width="17" style="116" customWidth="1"/>
    <col min="2" max="2" width="41.140625" style="116" bestFit="1" customWidth="1"/>
    <col min="3" max="3" width="33.28515625" style="116" customWidth="1"/>
    <col min="4" max="4" width="34.7109375" style="116" customWidth="1"/>
    <col min="5" max="5" width="28.28515625" style="116" customWidth="1"/>
    <col min="6" max="6" width="9.28515625" style="116" customWidth="1"/>
    <col min="7" max="7" width="10.7109375" style="116" customWidth="1" outlineLevel="1"/>
    <col min="8" max="8" width="7" style="116" bestFit="1" customWidth="1" outlineLevel="1"/>
    <col min="9" max="9" width="9.28515625" style="116" customWidth="1"/>
    <col min="10" max="10" width="10.7109375" style="116" customWidth="1" outlineLevel="1"/>
    <col min="11" max="11" width="7" style="116" bestFit="1" customWidth="1" outlineLevel="1"/>
    <col min="12" max="12" width="28.7109375" style="116" customWidth="1"/>
    <col min="13" max="13" width="10.140625" style="12" customWidth="1"/>
    <col min="14" max="14" width="8.140625" style="124" customWidth="1"/>
    <col min="15" max="15" width="7.7109375" style="12" hidden="1" customWidth="1"/>
    <col min="16" max="16384" width="9" style="12"/>
  </cols>
  <sheetData>
    <row r="2" spans="1:15" s="118" customFormat="1" ht="15" customHeight="1">
      <c r="A2" s="104" t="s">
        <v>61</v>
      </c>
      <c r="B2" s="170" t="s">
        <v>204</v>
      </c>
      <c r="C2" s="170"/>
      <c r="D2" s="170"/>
      <c r="E2" s="171"/>
      <c r="F2" s="110"/>
      <c r="G2" s="111"/>
      <c r="H2" s="112"/>
      <c r="I2" s="110"/>
      <c r="J2" s="111"/>
      <c r="K2" s="112"/>
      <c r="L2" s="112"/>
      <c r="M2" s="116"/>
      <c r="N2" s="117"/>
      <c r="O2" s="118" t="s">
        <v>50</v>
      </c>
    </row>
    <row r="3" spans="1:15" s="118" customFormat="1">
      <c r="A3" s="105" t="s">
        <v>63</v>
      </c>
      <c r="B3" s="172" t="s">
        <v>205</v>
      </c>
      <c r="C3" s="172"/>
      <c r="D3" s="172"/>
      <c r="E3" s="173"/>
      <c r="F3" s="110"/>
      <c r="G3" s="111"/>
      <c r="H3" s="112"/>
      <c r="I3" s="110"/>
      <c r="J3" s="111"/>
      <c r="K3" s="112"/>
      <c r="L3" s="112"/>
      <c r="M3" s="116"/>
      <c r="N3" s="117"/>
      <c r="O3" s="118" t="s">
        <v>51</v>
      </c>
    </row>
    <row r="4" spans="1:15" s="118" customFormat="1" ht="18" customHeight="1">
      <c r="A4" s="105" t="s">
        <v>65</v>
      </c>
      <c r="B4" s="172">
        <v>10</v>
      </c>
      <c r="C4" s="172"/>
      <c r="D4" s="172"/>
      <c r="E4" s="173"/>
      <c r="F4" s="110"/>
      <c r="G4" s="111"/>
      <c r="H4" s="112"/>
      <c r="I4" s="110"/>
      <c r="J4" s="111"/>
      <c r="K4" s="112"/>
      <c r="L4" s="112"/>
      <c r="M4" s="116"/>
      <c r="N4" s="117"/>
      <c r="O4" s="118" t="s">
        <v>52</v>
      </c>
    </row>
    <row r="5" spans="1:15" s="118" customFormat="1" ht="19.5" customHeight="1">
      <c r="A5" s="106" t="s">
        <v>66</v>
      </c>
      <c r="B5" s="107" t="s">
        <v>50</v>
      </c>
      <c r="C5" s="107" t="s">
        <v>51</v>
      </c>
      <c r="D5" s="107" t="s">
        <v>52</v>
      </c>
      <c r="E5" s="113" t="s">
        <v>53</v>
      </c>
      <c r="F5" s="51"/>
      <c r="G5" s="51"/>
      <c r="H5" s="109"/>
      <c r="I5" s="51"/>
      <c r="J5" s="51"/>
      <c r="K5" s="109"/>
      <c r="L5" s="109"/>
      <c r="M5" s="109"/>
      <c r="N5" s="119"/>
      <c r="O5" s="118" t="s">
        <v>53</v>
      </c>
    </row>
    <row r="6" spans="1:15" s="118" customFormat="1" ht="15" customHeight="1">
      <c r="A6" s="106" t="s">
        <v>67</v>
      </c>
      <c r="B6" s="108">
        <f>COUNTIF($F9:$F997,B5)</f>
        <v>7</v>
      </c>
      <c r="C6" s="108">
        <f>COUNTIF($F9:$F997,C5)</f>
        <v>2</v>
      </c>
      <c r="D6" s="108">
        <f>COUNTIF($F9:$F997,D5)</f>
        <v>1</v>
      </c>
      <c r="E6" s="114">
        <f>COUNTIF($F9:$F997,E5)</f>
        <v>0</v>
      </c>
      <c r="F6" s="52"/>
      <c r="G6" s="52"/>
      <c r="H6" s="109"/>
      <c r="I6" s="52"/>
      <c r="J6" s="52"/>
      <c r="K6" s="109"/>
      <c r="L6" s="109"/>
      <c r="M6" s="109"/>
      <c r="N6" s="119"/>
    </row>
    <row r="7" spans="1:15" s="118" customFormat="1" ht="15" customHeight="1">
      <c r="A7" s="106" t="s">
        <v>68</v>
      </c>
      <c r="B7" s="108">
        <f>COUNTIF($I9:$I997,B5)</f>
        <v>10</v>
      </c>
      <c r="C7" s="108">
        <f>COUNTIF($I9:$I997,C5)</f>
        <v>0</v>
      </c>
      <c r="D7" s="108">
        <f>COUNTIF($I9:$I997,D5)</f>
        <v>0</v>
      </c>
      <c r="E7" s="108">
        <f>COUNTIF($I9:$I997,E5)</f>
        <v>0</v>
      </c>
      <c r="F7" s="52"/>
      <c r="G7" s="52"/>
      <c r="H7" s="109"/>
      <c r="I7" s="52"/>
      <c r="J7" s="52"/>
      <c r="K7" s="109"/>
      <c r="L7" s="109"/>
      <c r="M7" s="109"/>
      <c r="N7" s="119"/>
    </row>
    <row r="8" spans="1:15" s="118" customFormat="1" ht="15" customHeight="1">
      <c r="A8" s="109"/>
      <c r="B8" s="109"/>
      <c r="C8" s="109"/>
      <c r="D8" s="109"/>
      <c r="E8" s="109"/>
      <c r="F8" s="52"/>
      <c r="G8" s="109"/>
      <c r="H8" s="109"/>
      <c r="I8" s="52"/>
      <c r="J8" s="109"/>
      <c r="K8" s="109"/>
      <c r="L8" s="109"/>
      <c r="M8" s="109"/>
      <c r="N8" s="119"/>
    </row>
    <row r="9" spans="1:15" s="149" customFormat="1" ht="25.5" customHeight="1">
      <c r="A9" s="54" t="s">
        <v>70</v>
      </c>
      <c r="B9" s="54" t="s">
        <v>71</v>
      </c>
      <c r="C9" s="54" t="s">
        <v>72</v>
      </c>
      <c r="D9" s="54" t="s">
        <v>73</v>
      </c>
      <c r="E9" s="54" t="s">
        <v>74</v>
      </c>
      <c r="F9" s="54" t="s">
        <v>67</v>
      </c>
      <c r="G9" s="54" t="s">
        <v>75</v>
      </c>
      <c r="H9" s="54" t="s">
        <v>76</v>
      </c>
      <c r="I9" s="54" t="s">
        <v>68</v>
      </c>
      <c r="J9" s="54" t="s">
        <v>75</v>
      </c>
      <c r="K9" s="54" t="s">
        <v>76</v>
      </c>
      <c r="L9" s="54" t="s">
        <v>77</v>
      </c>
      <c r="N9" s="32"/>
    </row>
    <row r="10" spans="1:15" s="118" customFormat="1" ht="15.75" customHeight="1">
      <c r="A10" s="141" t="s">
        <v>206</v>
      </c>
      <c r="B10" s="141"/>
      <c r="C10" s="142"/>
      <c r="D10" s="142"/>
      <c r="E10" s="142"/>
      <c r="F10" s="142"/>
      <c r="G10" s="142"/>
      <c r="H10" s="142"/>
      <c r="I10" s="142"/>
      <c r="J10" s="142"/>
      <c r="K10" s="142"/>
      <c r="L10" s="143"/>
      <c r="N10" s="139"/>
    </row>
    <row r="11" spans="1:15" s="118" customFormat="1" ht="153.75" customHeight="1" outlineLevel="1">
      <c r="A11" s="125" t="s">
        <v>207</v>
      </c>
      <c r="B11" s="128" t="s">
        <v>208</v>
      </c>
      <c r="C11" s="128" t="s">
        <v>209</v>
      </c>
      <c r="D11" s="129" t="s">
        <v>210</v>
      </c>
      <c r="E11" s="129" t="s">
        <v>211</v>
      </c>
      <c r="F11" s="125" t="s">
        <v>50</v>
      </c>
      <c r="G11" s="126">
        <v>45771</v>
      </c>
      <c r="H11" s="125" t="s">
        <v>212</v>
      </c>
      <c r="I11" s="125" t="s">
        <v>50</v>
      </c>
      <c r="J11" s="126">
        <v>45772</v>
      </c>
      <c r="K11" s="125" t="s">
        <v>212</v>
      </c>
      <c r="L11" s="127"/>
      <c r="N11" s="122"/>
    </row>
    <row r="12" spans="1:15" s="118" customFormat="1" ht="103.5" customHeight="1" outlineLevel="1">
      <c r="A12" s="125" t="s">
        <v>213</v>
      </c>
      <c r="B12" s="128" t="s">
        <v>214</v>
      </c>
      <c r="C12" s="128" t="s">
        <v>215</v>
      </c>
      <c r="D12" s="144" t="s">
        <v>216</v>
      </c>
      <c r="E12" s="129" t="s">
        <v>217</v>
      </c>
      <c r="F12" s="125" t="s">
        <v>51</v>
      </c>
      <c r="G12" s="126">
        <v>45771</v>
      </c>
      <c r="H12" s="125" t="s">
        <v>212</v>
      </c>
      <c r="I12" s="125" t="s">
        <v>50</v>
      </c>
      <c r="J12" s="126">
        <v>45772</v>
      </c>
      <c r="K12" s="125" t="s">
        <v>212</v>
      </c>
      <c r="L12" s="127" t="s">
        <v>178</v>
      </c>
      <c r="N12" s="122"/>
    </row>
    <row r="13" spans="1:15" s="118" customFormat="1" ht="78.75" customHeight="1" outlineLevel="1">
      <c r="A13" s="125" t="s">
        <v>218</v>
      </c>
      <c r="B13" s="144" t="s">
        <v>219</v>
      </c>
      <c r="C13" s="128" t="s">
        <v>220</v>
      </c>
      <c r="D13" s="128" t="s">
        <v>221</v>
      </c>
      <c r="E13" s="128" t="s">
        <v>222</v>
      </c>
      <c r="F13" s="125" t="s">
        <v>50</v>
      </c>
      <c r="G13" s="126">
        <v>45771</v>
      </c>
      <c r="H13" s="125" t="s">
        <v>212</v>
      </c>
      <c r="I13" s="125" t="s">
        <v>50</v>
      </c>
      <c r="J13" s="126">
        <v>45772</v>
      </c>
      <c r="K13" s="125" t="s">
        <v>212</v>
      </c>
      <c r="L13" s="127"/>
      <c r="N13" s="122"/>
    </row>
    <row r="14" spans="1:15" s="118" customFormat="1" ht="54" outlineLevel="1">
      <c r="A14" s="125" t="s">
        <v>223</v>
      </c>
      <c r="B14" s="128" t="s">
        <v>224</v>
      </c>
      <c r="C14" s="128" t="s">
        <v>225</v>
      </c>
      <c r="D14" s="144" t="s">
        <v>226</v>
      </c>
      <c r="E14" s="129" t="s">
        <v>222</v>
      </c>
      <c r="F14" s="125" t="s">
        <v>51</v>
      </c>
      <c r="G14" s="126">
        <v>45771</v>
      </c>
      <c r="H14" s="125" t="s">
        <v>212</v>
      </c>
      <c r="I14" s="125" t="s">
        <v>50</v>
      </c>
      <c r="J14" s="126">
        <v>45772</v>
      </c>
      <c r="K14" s="125" t="s">
        <v>212</v>
      </c>
      <c r="L14" s="127"/>
      <c r="N14" s="122"/>
    </row>
    <row r="15" spans="1:15" s="118" customFormat="1" ht="40.5" outlineLevel="1">
      <c r="A15" s="125" t="s">
        <v>227</v>
      </c>
      <c r="B15" s="128" t="s">
        <v>228</v>
      </c>
      <c r="C15" s="128" t="s">
        <v>229</v>
      </c>
      <c r="D15" s="144" t="s">
        <v>230</v>
      </c>
      <c r="E15" s="129" t="s">
        <v>222</v>
      </c>
      <c r="F15" s="125" t="s">
        <v>50</v>
      </c>
      <c r="G15" s="126">
        <v>45771</v>
      </c>
      <c r="H15" s="125" t="s">
        <v>212</v>
      </c>
      <c r="I15" s="125" t="s">
        <v>50</v>
      </c>
      <c r="J15" s="126">
        <v>45772</v>
      </c>
      <c r="K15" s="125" t="s">
        <v>212</v>
      </c>
      <c r="L15" s="127"/>
      <c r="N15" s="122"/>
    </row>
    <row r="16" spans="1:15" s="118" customFormat="1">
      <c r="A16" s="145" t="s">
        <v>231</v>
      </c>
      <c r="B16" s="145"/>
      <c r="C16" s="146"/>
      <c r="D16" s="146"/>
      <c r="E16" s="146"/>
      <c r="F16" s="146"/>
      <c r="G16" s="146"/>
      <c r="H16" s="146"/>
      <c r="I16" s="146"/>
      <c r="J16" s="146"/>
      <c r="K16" s="146"/>
      <c r="L16" s="147"/>
      <c r="N16" s="139"/>
    </row>
    <row r="17" spans="1:14" ht="88.5" outlineLevel="1">
      <c r="A17" s="148" t="s">
        <v>232</v>
      </c>
      <c r="B17" s="120" t="s">
        <v>233</v>
      </c>
      <c r="C17" s="120" t="s">
        <v>234</v>
      </c>
      <c r="D17" s="120" t="s">
        <v>235</v>
      </c>
      <c r="E17" s="120" t="s">
        <v>236</v>
      </c>
      <c r="F17" s="120" t="s">
        <v>50</v>
      </c>
      <c r="G17" s="126">
        <v>45771</v>
      </c>
      <c r="H17" s="125" t="s">
        <v>212</v>
      </c>
      <c r="I17" s="120" t="s">
        <v>50</v>
      </c>
      <c r="J17" s="126">
        <v>45772</v>
      </c>
      <c r="K17" s="125" t="s">
        <v>212</v>
      </c>
      <c r="L17" s="121"/>
      <c r="N17" s="122"/>
    </row>
    <row r="18" spans="1:14" ht="50.25" outlineLevel="1">
      <c r="A18" s="120" t="s">
        <v>237</v>
      </c>
      <c r="B18" s="120" t="s">
        <v>238</v>
      </c>
      <c r="C18" s="120" t="s">
        <v>239</v>
      </c>
      <c r="D18" s="120" t="s">
        <v>240</v>
      </c>
      <c r="E18" s="120" t="s">
        <v>241</v>
      </c>
      <c r="F18" s="120" t="s">
        <v>50</v>
      </c>
      <c r="G18" s="126">
        <v>45771</v>
      </c>
      <c r="H18" s="125" t="s">
        <v>212</v>
      </c>
      <c r="I18" s="120" t="s">
        <v>50</v>
      </c>
      <c r="J18" s="126">
        <v>45772</v>
      </c>
      <c r="K18" s="125" t="s">
        <v>212</v>
      </c>
      <c r="L18" s="121"/>
      <c r="N18" s="123"/>
    </row>
    <row r="19" spans="1:14" ht="50.25" outlineLevel="1">
      <c r="A19" s="148" t="s">
        <v>242</v>
      </c>
      <c r="B19" s="120" t="s">
        <v>243</v>
      </c>
      <c r="C19" s="120" t="s">
        <v>244</v>
      </c>
      <c r="D19" s="120" t="s">
        <v>245</v>
      </c>
      <c r="E19" s="120" t="s">
        <v>246</v>
      </c>
      <c r="F19" s="120" t="s">
        <v>50</v>
      </c>
      <c r="G19" s="126">
        <v>45771</v>
      </c>
      <c r="H19" s="125" t="s">
        <v>212</v>
      </c>
      <c r="I19" s="120" t="s">
        <v>50</v>
      </c>
      <c r="J19" s="126">
        <v>45772</v>
      </c>
      <c r="K19" s="125" t="s">
        <v>212</v>
      </c>
      <c r="L19" s="121"/>
      <c r="N19" s="122"/>
    </row>
    <row r="20" spans="1:14" ht="37.5" outlineLevel="1">
      <c r="A20" s="120" t="s">
        <v>247</v>
      </c>
      <c r="B20" s="120" t="s">
        <v>248</v>
      </c>
      <c r="C20" s="120" t="s">
        <v>249</v>
      </c>
      <c r="D20" s="120" t="s">
        <v>250</v>
      </c>
      <c r="E20" s="120" t="s">
        <v>251</v>
      </c>
      <c r="F20" s="120" t="s">
        <v>50</v>
      </c>
      <c r="G20" s="126">
        <v>45771</v>
      </c>
      <c r="H20" s="125" t="s">
        <v>212</v>
      </c>
      <c r="I20" s="120" t="s">
        <v>50</v>
      </c>
      <c r="J20" s="126">
        <v>45772</v>
      </c>
      <c r="K20" s="125" t="s">
        <v>212</v>
      </c>
      <c r="L20" s="121"/>
      <c r="N20" s="123"/>
    </row>
    <row r="21" spans="1:14" ht="24.75" outlineLevel="1">
      <c r="A21" s="120" t="s">
        <v>252</v>
      </c>
      <c r="B21" s="120" t="s">
        <v>253</v>
      </c>
      <c r="C21" s="120" t="s">
        <v>254</v>
      </c>
      <c r="D21" s="120" t="s">
        <v>255</v>
      </c>
      <c r="E21" s="120" t="s">
        <v>251</v>
      </c>
      <c r="F21" s="120" t="s">
        <v>52</v>
      </c>
      <c r="G21" s="126">
        <v>45771</v>
      </c>
      <c r="H21" s="125" t="s">
        <v>212</v>
      </c>
      <c r="I21" s="120" t="s">
        <v>50</v>
      </c>
      <c r="J21" s="126">
        <v>45772</v>
      </c>
      <c r="K21" s="125" t="s">
        <v>212</v>
      </c>
      <c r="L21" s="121"/>
      <c r="N21" s="123"/>
    </row>
  </sheetData>
  <mergeCells count="3">
    <mergeCell ref="B2:E2"/>
    <mergeCell ref="B3:E3"/>
    <mergeCell ref="B4:E4"/>
  </mergeCells>
  <dataValidations count="2">
    <dataValidation allowBlank="1" showErrorMessage="1" sqref="F9 I9" xr:uid="{EDD6409A-FBF9-4939-8BF0-F1D7C291A29E}"/>
    <dataValidation type="list" allowBlank="1" showErrorMessage="1" sqref="G2:G3 G8 G22:G146 J2:J3 J8 I11:I21 J22:J146 F11:F21" xr:uid="{1908B7F0-B176-40C6-BDE2-7E3787862103}">
      <formula1>$O$2:$O$5</formula1>
      <formula2>0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947C-6DCC-43C8-914A-C5C5BB6DC261}">
  <dimension ref="A2:O21"/>
  <sheetViews>
    <sheetView tabSelected="1" workbookViewId="0">
      <selection activeCell="D11" sqref="D11"/>
    </sheetView>
  </sheetViews>
  <sheetFormatPr defaultColWidth="9" defaultRowHeight="12.75" outlineLevelRow="1" outlineLevelCol="1"/>
  <cols>
    <col min="1" max="1" width="17" style="116" customWidth="1"/>
    <col min="2" max="2" width="41.140625" style="116" bestFit="1" customWidth="1"/>
    <col min="3" max="3" width="33.28515625" style="116" customWidth="1"/>
    <col min="4" max="4" width="34.7109375" style="116" customWidth="1"/>
    <col min="5" max="5" width="28.28515625" style="116" customWidth="1"/>
    <col min="6" max="6" width="9.28515625" style="116" customWidth="1"/>
    <col min="7" max="7" width="10.7109375" style="116" customWidth="1" outlineLevel="1"/>
    <col min="8" max="8" width="7" style="116" bestFit="1" customWidth="1" outlineLevel="1"/>
    <col min="9" max="9" width="9.28515625" style="116" customWidth="1"/>
    <col min="10" max="10" width="10.7109375" style="116" customWidth="1" outlineLevel="1"/>
    <col min="11" max="11" width="7" style="116" bestFit="1" customWidth="1" outlineLevel="1"/>
    <col min="12" max="12" width="28.7109375" style="116" customWidth="1"/>
    <col min="13" max="13" width="10.140625" style="12" customWidth="1"/>
    <col min="14" max="14" width="8.140625" style="124" customWidth="1"/>
    <col min="15" max="15" width="7.7109375" style="12" hidden="1" customWidth="1"/>
    <col min="16" max="16384" width="9" style="12"/>
  </cols>
  <sheetData>
    <row r="2" spans="1:15" s="118" customFormat="1" ht="15" customHeight="1">
      <c r="A2" s="104" t="s">
        <v>61</v>
      </c>
      <c r="B2" s="170" t="s">
        <v>56</v>
      </c>
      <c r="C2" s="170"/>
      <c r="D2" s="170"/>
      <c r="E2" s="171"/>
      <c r="F2" s="110"/>
      <c r="G2" s="111"/>
      <c r="H2" s="112"/>
      <c r="I2" s="110"/>
      <c r="J2" s="111"/>
      <c r="K2" s="112"/>
      <c r="L2" s="112"/>
      <c r="M2" s="116"/>
      <c r="N2" s="117"/>
      <c r="O2" s="118" t="s">
        <v>50</v>
      </c>
    </row>
    <row r="3" spans="1:15" s="118" customFormat="1">
      <c r="A3" s="105" t="s">
        <v>63</v>
      </c>
      <c r="B3" s="172" t="s">
        <v>256</v>
      </c>
      <c r="C3" s="172"/>
      <c r="D3" s="172"/>
      <c r="E3" s="173"/>
      <c r="F3" s="110"/>
      <c r="G3" s="111"/>
      <c r="H3" s="112"/>
      <c r="I3" s="110"/>
      <c r="J3" s="111"/>
      <c r="K3" s="112"/>
      <c r="L3" s="112"/>
      <c r="M3" s="116"/>
      <c r="N3" s="117"/>
      <c r="O3" s="118" t="s">
        <v>51</v>
      </c>
    </row>
    <row r="4" spans="1:15" s="118" customFormat="1" ht="18" customHeight="1">
      <c r="A4" s="105" t="s">
        <v>65</v>
      </c>
      <c r="B4" s="172">
        <v>10</v>
      </c>
      <c r="C4" s="172"/>
      <c r="D4" s="172"/>
      <c r="E4" s="173"/>
      <c r="F4" s="110"/>
      <c r="G4" s="111"/>
      <c r="H4" s="112"/>
      <c r="I4" s="110"/>
      <c r="J4" s="111"/>
      <c r="K4" s="112"/>
      <c r="L4" s="112"/>
      <c r="M4" s="116"/>
      <c r="N4" s="117"/>
      <c r="O4" s="118" t="s">
        <v>52</v>
      </c>
    </row>
    <row r="5" spans="1:15" s="118" customFormat="1" ht="19.5" customHeight="1">
      <c r="A5" s="106" t="s">
        <v>66</v>
      </c>
      <c r="B5" s="107" t="s">
        <v>50</v>
      </c>
      <c r="C5" s="107" t="s">
        <v>51</v>
      </c>
      <c r="D5" s="107" t="s">
        <v>52</v>
      </c>
      <c r="E5" s="113" t="s">
        <v>53</v>
      </c>
      <c r="F5" s="51"/>
      <c r="G5" s="51"/>
      <c r="H5" s="109"/>
      <c r="I5" s="51"/>
      <c r="J5" s="51"/>
      <c r="K5" s="109"/>
      <c r="L5" s="109"/>
      <c r="M5" s="109"/>
      <c r="N5" s="119"/>
      <c r="O5" s="118" t="s">
        <v>53</v>
      </c>
    </row>
    <row r="6" spans="1:15" s="118" customFormat="1" ht="15" customHeight="1">
      <c r="A6" s="106" t="s">
        <v>67</v>
      </c>
      <c r="B6" s="108">
        <f>COUNTIF($F9:$F997,B5)</f>
        <v>9</v>
      </c>
      <c r="C6" s="108">
        <f>COUNTIF($F9:$F997,C5)</f>
        <v>1</v>
      </c>
      <c r="D6" s="108">
        <f>COUNTIF($F9:$F997,D5)</f>
        <v>0</v>
      </c>
      <c r="E6" s="114">
        <f>COUNTIF($F9:$F997,E5)</f>
        <v>0</v>
      </c>
      <c r="F6" s="52"/>
      <c r="G6" s="52"/>
      <c r="H6" s="109"/>
      <c r="I6" s="52"/>
      <c r="J6" s="52"/>
      <c r="K6" s="109"/>
      <c r="L6" s="109"/>
      <c r="M6" s="109"/>
      <c r="N6" s="119"/>
    </row>
    <row r="7" spans="1:15" s="118" customFormat="1" ht="15" customHeight="1">
      <c r="A7" s="106" t="s">
        <v>68</v>
      </c>
      <c r="B7" s="108">
        <f>COUNTIF($I9:$I997,B5)</f>
        <v>10</v>
      </c>
      <c r="C7" s="108">
        <f>COUNTIF($I9:$I997,C5)</f>
        <v>0</v>
      </c>
      <c r="D7" s="108">
        <f>COUNTIF($I9:$I997,D5)</f>
        <v>0</v>
      </c>
      <c r="E7" s="108">
        <f>COUNTIF($I9:$I997,E5)</f>
        <v>0</v>
      </c>
      <c r="F7" s="52"/>
      <c r="G7" s="52"/>
      <c r="H7" s="109"/>
      <c r="I7" s="52"/>
      <c r="J7" s="52"/>
      <c r="K7" s="109"/>
      <c r="L7" s="109"/>
      <c r="M7" s="109"/>
      <c r="N7" s="119"/>
    </row>
    <row r="8" spans="1:15" s="118" customFormat="1" ht="15" customHeight="1">
      <c r="A8" s="109"/>
      <c r="B8" s="109"/>
      <c r="C8" s="109"/>
      <c r="D8" s="109"/>
      <c r="E8" s="109"/>
      <c r="F8" s="52"/>
      <c r="G8" s="109"/>
      <c r="H8" s="109"/>
      <c r="I8" s="52"/>
      <c r="J8" s="109"/>
      <c r="K8" s="109"/>
      <c r="L8" s="109"/>
      <c r="M8" s="109"/>
      <c r="N8" s="119"/>
    </row>
    <row r="9" spans="1:15" s="149" customFormat="1" ht="25.5" customHeight="1">
      <c r="A9" s="54" t="s">
        <v>70</v>
      </c>
      <c r="B9" s="54" t="s">
        <v>71</v>
      </c>
      <c r="C9" s="54" t="s">
        <v>72</v>
      </c>
      <c r="D9" s="54" t="s">
        <v>73</v>
      </c>
      <c r="E9" s="54" t="s">
        <v>74</v>
      </c>
      <c r="F9" s="54" t="s">
        <v>67</v>
      </c>
      <c r="G9" s="54" t="s">
        <v>75</v>
      </c>
      <c r="H9" s="54" t="s">
        <v>76</v>
      </c>
      <c r="I9" s="54" t="s">
        <v>68</v>
      </c>
      <c r="J9" s="54" t="s">
        <v>75</v>
      </c>
      <c r="K9" s="54" t="s">
        <v>76</v>
      </c>
      <c r="L9" s="54" t="s">
        <v>77</v>
      </c>
      <c r="N9" s="32"/>
    </row>
    <row r="10" spans="1:15" s="118" customFormat="1" ht="15.75" customHeight="1">
      <c r="A10" s="141" t="s">
        <v>43</v>
      </c>
      <c r="B10" s="141"/>
      <c r="C10" s="142"/>
      <c r="D10" s="142"/>
      <c r="E10" s="142"/>
      <c r="F10" s="142"/>
      <c r="G10" s="142"/>
      <c r="H10" s="142"/>
      <c r="I10" s="142"/>
      <c r="J10" s="142"/>
      <c r="K10" s="142"/>
      <c r="L10" s="143"/>
      <c r="N10" s="139"/>
    </row>
    <row r="11" spans="1:15" s="118" customFormat="1" ht="153.75" customHeight="1" outlineLevel="1">
      <c r="A11" s="125" t="s">
        <v>257</v>
      </c>
      <c r="B11" s="128" t="s">
        <v>258</v>
      </c>
      <c r="C11" s="128" t="s">
        <v>259</v>
      </c>
      <c r="D11" s="129" t="s">
        <v>260</v>
      </c>
      <c r="E11" s="129" t="s">
        <v>261</v>
      </c>
      <c r="F11" s="125" t="s">
        <v>50</v>
      </c>
      <c r="G11" s="126">
        <v>45771</v>
      </c>
      <c r="H11" s="125" t="s">
        <v>212</v>
      </c>
      <c r="I11" s="125" t="s">
        <v>50</v>
      </c>
      <c r="J11" s="126">
        <v>45772</v>
      </c>
      <c r="K11" s="125" t="s">
        <v>212</v>
      </c>
      <c r="L11" s="127"/>
      <c r="N11" s="122"/>
    </row>
    <row r="12" spans="1:15" s="118" customFormat="1" ht="103.5" customHeight="1" outlineLevel="1">
      <c r="A12" s="125" t="s">
        <v>262</v>
      </c>
      <c r="B12" s="128" t="s">
        <v>263</v>
      </c>
      <c r="C12" s="128" t="s">
        <v>264</v>
      </c>
      <c r="D12" s="144" t="s">
        <v>265</v>
      </c>
      <c r="E12" s="129" t="s">
        <v>266</v>
      </c>
      <c r="F12" s="125" t="s">
        <v>51</v>
      </c>
      <c r="G12" s="126">
        <v>45771</v>
      </c>
      <c r="H12" s="125" t="s">
        <v>212</v>
      </c>
      <c r="I12" s="125" t="s">
        <v>50</v>
      </c>
      <c r="J12" s="126">
        <v>45772</v>
      </c>
      <c r="K12" s="125" t="s">
        <v>212</v>
      </c>
      <c r="L12" s="127" t="s">
        <v>178</v>
      </c>
      <c r="N12" s="122"/>
    </row>
    <row r="13" spans="1:15" s="118" customFormat="1" ht="78.75" customHeight="1" outlineLevel="1">
      <c r="A13" s="125" t="s">
        <v>267</v>
      </c>
      <c r="B13" s="144" t="s">
        <v>268</v>
      </c>
      <c r="C13" s="128" t="s">
        <v>269</v>
      </c>
      <c r="D13" s="128" t="s">
        <v>270</v>
      </c>
      <c r="E13" s="128"/>
      <c r="F13" s="125" t="s">
        <v>50</v>
      </c>
      <c r="G13" s="126">
        <v>45771</v>
      </c>
      <c r="H13" s="125" t="s">
        <v>212</v>
      </c>
      <c r="I13" s="125" t="s">
        <v>50</v>
      </c>
      <c r="J13" s="126">
        <v>45772</v>
      </c>
      <c r="K13" s="125" t="s">
        <v>212</v>
      </c>
      <c r="L13" s="127"/>
      <c r="N13" s="122"/>
    </row>
    <row r="14" spans="1:15" s="118" customFormat="1" ht="87.75" outlineLevel="1">
      <c r="A14" s="125" t="s">
        <v>271</v>
      </c>
      <c r="B14" s="128" t="s">
        <v>272</v>
      </c>
      <c r="C14" s="128" t="s">
        <v>273</v>
      </c>
      <c r="D14" s="144" t="s">
        <v>274</v>
      </c>
      <c r="E14" s="129" t="s">
        <v>275</v>
      </c>
      <c r="F14" s="125" t="s">
        <v>50</v>
      </c>
      <c r="G14" s="126">
        <v>45771</v>
      </c>
      <c r="H14" s="125" t="s">
        <v>212</v>
      </c>
      <c r="I14" s="125" t="s">
        <v>50</v>
      </c>
      <c r="J14" s="126">
        <v>45772</v>
      </c>
      <c r="K14" s="125" t="s">
        <v>212</v>
      </c>
      <c r="L14" s="127"/>
      <c r="N14" s="122"/>
    </row>
    <row r="15" spans="1:15" s="118" customFormat="1" ht="54" outlineLevel="1">
      <c r="A15" s="125" t="s">
        <v>276</v>
      </c>
      <c r="B15" s="128" t="s">
        <v>277</v>
      </c>
      <c r="C15" s="128" t="s">
        <v>278</v>
      </c>
      <c r="D15" s="144" t="s">
        <v>279</v>
      </c>
      <c r="E15" s="129" t="s">
        <v>280</v>
      </c>
      <c r="F15" s="125" t="s">
        <v>50</v>
      </c>
      <c r="G15" s="126">
        <v>45771</v>
      </c>
      <c r="H15" s="125" t="s">
        <v>212</v>
      </c>
      <c r="I15" s="125" t="s">
        <v>50</v>
      </c>
      <c r="J15" s="126">
        <v>45772</v>
      </c>
      <c r="K15" s="125" t="s">
        <v>212</v>
      </c>
      <c r="L15" s="127"/>
      <c r="N15" s="122"/>
    </row>
    <row r="16" spans="1:15" s="118" customFormat="1">
      <c r="A16" s="145" t="s">
        <v>44</v>
      </c>
      <c r="B16" s="145"/>
      <c r="C16" s="146"/>
      <c r="D16" s="146"/>
      <c r="E16" s="146"/>
      <c r="F16" s="146"/>
      <c r="G16" s="146"/>
      <c r="H16" s="146"/>
      <c r="I16" s="146"/>
      <c r="J16" s="146"/>
      <c r="K16" s="146"/>
      <c r="L16" s="147"/>
      <c r="N16" s="139"/>
    </row>
    <row r="17" spans="1:14" ht="100.5" outlineLevel="1">
      <c r="A17" s="148" t="s">
        <v>281</v>
      </c>
      <c r="B17" s="120" t="s">
        <v>282</v>
      </c>
      <c r="C17" s="120" t="s">
        <v>283</v>
      </c>
      <c r="D17" s="120" t="s">
        <v>284</v>
      </c>
      <c r="E17" s="120"/>
      <c r="F17" s="120" t="s">
        <v>50</v>
      </c>
      <c r="G17" s="126">
        <v>45771</v>
      </c>
      <c r="H17" s="125" t="s">
        <v>212</v>
      </c>
      <c r="I17" s="120" t="s">
        <v>50</v>
      </c>
      <c r="J17" s="126">
        <v>45772</v>
      </c>
      <c r="K17" s="125" t="s">
        <v>212</v>
      </c>
      <c r="L17" s="121"/>
      <c r="N17" s="122"/>
    </row>
    <row r="18" spans="1:14" ht="62.25" outlineLevel="1">
      <c r="A18" s="120" t="s">
        <v>285</v>
      </c>
      <c r="B18" s="120" t="s">
        <v>286</v>
      </c>
      <c r="C18" s="120" t="s">
        <v>287</v>
      </c>
      <c r="D18" s="120" t="s">
        <v>288</v>
      </c>
      <c r="E18" s="120"/>
      <c r="F18" s="120" t="s">
        <v>50</v>
      </c>
      <c r="G18" s="126">
        <v>45771</v>
      </c>
      <c r="H18" s="125" t="s">
        <v>212</v>
      </c>
      <c r="I18" s="120" t="s">
        <v>50</v>
      </c>
      <c r="J18" s="126">
        <v>45772</v>
      </c>
      <c r="K18" s="125" t="s">
        <v>212</v>
      </c>
      <c r="L18" s="121"/>
      <c r="N18" s="123"/>
    </row>
    <row r="19" spans="1:14" ht="50.25" outlineLevel="1">
      <c r="A19" s="148" t="s">
        <v>289</v>
      </c>
      <c r="B19" s="120" t="s">
        <v>290</v>
      </c>
      <c r="C19" s="120" t="s">
        <v>291</v>
      </c>
      <c r="D19" s="120" t="s">
        <v>292</v>
      </c>
      <c r="E19" s="120"/>
      <c r="F19" s="120" t="s">
        <v>50</v>
      </c>
      <c r="G19" s="126">
        <v>45771</v>
      </c>
      <c r="H19" s="125" t="s">
        <v>212</v>
      </c>
      <c r="I19" s="120" t="s">
        <v>50</v>
      </c>
      <c r="J19" s="126">
        <v>45772</v>
      </c>
      <c r="K19" s="125" t="s">
        <v>212</v>
      </c>
      <c r="L19" s="121"/>
      <c r="N19" s="122"/>
    </row>
    <row r="20" spans="1:14" ht="50.25" outlineLevel="1">
      <c r="A20" s="120" t="s">
        <v>293</v>
      </c>
      <c r="B20" s="120" t="s">
        <v>294</v>
      </c>
      <c r="C20" s="120" t="s">
        <v>295</v>
      </c>
      <c r="D20" s="120" t="s">
        <v>296</v>
      </c>
      <c r="E20" s="120"/>
      <c r="F20" s="120" t="s">
        <v>50</v>
      </c>
      <c r="G20" s="126">
        <v>45771</v>
      </c>
      <c r="H20" s="125" t="s">
        <v>212</v>
      </c>
      <c r="I20" s="120" t="s">
        <v>50</v>
      </c>
      <c r="J20" s="126">
        <v>45772</v>
      </c>
      <c r="K20" s="125" t="s">
        <v>212</v>
      </c>
      <c r="L20" s="121"/>
      <c r="N20" s="123"/>
    </row>
    <row r="21" spans="1:14" ht="50.25" outlineLevel="1">
      <c r="A21" s="120" t="s">
        <v>297</v>
      </c>
      <c r="B21" s="120" t="s">
        <v>298</v>
      </c>
      <c r="C21" s="120" t="s">
        <v>299</v>
      </c>
      <c r="D21" s="120" t="s">
        <v>300</v>
      </c>
      <c r="E21" s="120"/>
      <c r="F21" s="120" t="s">
        <v>50</v>
      </c>
      <c r="G21" s="126">
        <v>45771</v>
      </c>
      <c r="H21" s="125" t="s">
        <v>212</v>
      </c>
      <c r="I21" s="120" t="s">
        <v>50</v>
      </c>
      <c r="J21" s="126">
        <v>45772</v>
      </c>
      <c r="K21" s="125" t="s">
        <v>212</v>
      </c>
      <c r="L21" s="121"/>
      <c r="N21" s="123"/>
    </row>
  </sheetData>
  <mergeCells count="3">
    <mergeCell ref="B2:E2"/>
    <mergeCell ref="B3:E3"/>
    <mergeCell ref="B4:E4"/>
  </mergeCells>
  <dataValidations count="2">
    <dataValidation allowBlank="1" showErrorMessage="1" sqref="F9 I9" xr:uid="{0C343AAE-8082-4166-BAE9-CCF8C509CC7F}"/>
    <dataValidation type="list" allowBlank="1" showErrorMessage="1" sqref="G2:G3 G8 G22:G146 J2:J3 J8 F11:F21 I11:I21 J22:J146" xr:uid="{2F119125-3F71-4482-9451-E59871BBF041}">
      <formula1>$O$2:$O$5</formula1>
      <formula2>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cp:keywords/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Luan Vo</cp:lastModifiedBy>
  <cp:revision/>
  <dcterms:created xsi:type="dcterms:W3CDTF">2020-03-17T17:34:29Z</dcterms:created>
  <dcterms:modified xsi:type="dcterms:W3CDTF">2025-05-09T17:24:12Z</dcterms:modified>
  <cp:category>BM</cp:category>
  <cp:contentStatus/>
</cp:coreProperties>
</file>